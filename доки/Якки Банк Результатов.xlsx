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иск" sheetId="1" r:id="rId5"/>
    <sheet state="visible" name="По художественной ценности" sheetId="2" r:id="rId6"/>
    <sheet state="visible" name="По благам дополнительно" sheetId="3" r:id="rId7"/>
    <sheet state="visible" name="По ценностям адекват" sheetId="4" r:id="rId8"/>
    <sheet state="hidden" name="Поиск (копия)" sheetId="5" r:id="rId9"/>
    <sheet state="visible" name="По секторам" sheetId="6" r:id="rId10"/>
    <sheet state="visible" name="по секторам адекват" sheetId="7" r:id="rId11"/>
    <sheet state="hidden" name="Лист9" sheetId="8" r:id="rId12"/>
    <sheet state="visible" name="По благам" sheetId="9" r:id="rId13"/>
    <sheet state="hidden" name="Лист1 (копия)" sheetId="10" r:id="rId14"/>
    <sheet state="visible" name="По благополучателям адекват" sheetId="11" r:id="rId15"/>
    <sheet state="visible" name="Показатели" sheetId="12" r:id="rId16"/>
    <sheet state="visible" name="Экспертиза" sheetId="13" r:id="rId17"/>
  </sheets>
  <definedNames>
    <definedName name="ФЦТруд">'По ценностям адекват'!$I:$I</definedName>
    <definedName name="ФБКоманда">'По благополучателям адекват'!$E:$E</definedName>
    <definedName name="ЧастныеблагаВнутренние">'По благам'!$D:$D</definedName>
    <definedName name="Фокуснаблагах">'По благам'!$A:$A</definedName>
    <definedName name="ЧастныеблагасобщественнымэффектомВнутренние">'По благам'!$F:$F</definedName>
    <definedName name="ФБСообщество">'По благополучателям адекват'!$C:$C</definedName>
    <definedName name="ФССоциальнаясфера">'По секторам'!$F:$F</definedName>
    <definedName name="Фокуснаблагополучателе">#REF!</definedName>
    <definedName name="ЧастныеблагаИнструментальные">'По благам'!$C:$C</definedName>
    <definedName name="ФЦДостоинство">'По ценностям адекват'!$B:$B</definedName>
    <definedName name="ФЦСемья">'По ценностям адекват'!$H:$H</definedName>
    <definedName name="ФББизнес">'По благополучателям адекват'!$D:$D</definedName>
    <definedName name="ФСОбразование">'По секторам'!$C:$C</definedName>
    <definedName name="ФЦСправедливость">'По ценностям адекват'!$M:$M</definedName>
    <definedName name="ФСГородскаясреда">'По секторам'!$H:$H</definedName>
    <definedName name="ФЦГражданственность">'По ценностям адекват'!$E:$E</definedName>
    <definedName name="ФЦВзаимопомощь">'По ценностям адекват'!$O:$O</definedName>
    <definedName name="ОбщественныеблагаИнструментальные">'По благам'!$G:$G</definedName>
    <definedName name="ФЦИдеалы">'По ценностям адекват'!$G:$G</definedName>
    <definedName name="ФЦПриоритет">'По ценностям адекват'!$J:$J</definedName>
    <definedName name="ФБлага">'По благам'!$B:$B</definedName>
    <definedName name="ФСЭкономика">'По секторам'!$B:$B</definedName>
    <definedName name="ФСЭкология">'По секторам'!$E:$E</definedName>
    <definedName name="ФБЛюди">'По благополучателям адекват'!$A:$A</definedName>
    <definedName name="ФЦГуманизм">'По ценностям адекват'!$K:$K</definedName>
    <definedName name="ФЦСлужение">'По ценностям адекват'!$F:$F</definedName>
    <definedName name="ФСМестноеразвитие">'По секторам'!$G:$G</definedName>
    <definedName name="ФЦМилосердие">'По ценностям адекват'!$L:$L</definedName>
    <definedName name="ФЦПрава">'По ценностям адекват'!$C:$C</definedName>
    <definedName name="ФЦКоллективизм">'По ценностям адекват'!$N:$N</definedName>
    <definedName name="ОбщественныеблагаВнутренние">'По благам'!$H:$H</definedName>
    <definedName name="ФБСемьи">'По благополучателям адекват'!$B:$B</definedName>
    <definedName name="Фокуснаценностях">#REF!</definedName>
    <definedName name="ФЦЖизнь">'По ценностям адекват'!$A:$A</definedName>
    <definedName name="ФЦЕдинство">'По ценностям адекват'!$Q:$Q</definedName>
    <definedName name="Фокуснасекторе">'По секторам'!$A:$A</definedName>
    <definedName name="ФСЗдоровье">'По секторам'!$D:$D</definedName>
    <definedName name="ЧастныеблагасобщественнымэффектомИнструментальные">'По благам'!$E:$E</definedName>
    <definedName name="ФЦПамять">'По ценностям адекват'!$P:$P</definedName>
    <definedName name="ФСКультура">'По секторам'!$I:$I</definedName>
    <definedName name="ФЦПатриотизм">'По ценностям адекват'!$D:$D</definedName>
    <definedName hidden="1" localSheetId="11" name="_xlnm._FilterDatabase">'Показатели'!$A$1:$D$156</definedName>
    <definedName hidden="1" localSheetId="12" name="_xlnm._FilterDatabase">'Экспертиза'!$A$1:$C$1004</definedName>
  </definedNames>
  <calcPr/>
</workbook>
</file>

<file path=xl/sharedStrings.xml><?xml version="1.0" encoding="utf-8"?>
<sst xmlns="http://schemas.openxmlformats.org/spreadsheetml/2006/main" count="1156" uniqueCount="494">
  <si>
    <t>Подход</t>
  </si>
  <si>
    <t>Область влияния</t>
  </si>
  <si>
    <t>Результат</t>
  </si>
  <si>
    <t>Ценности</t>
  </si>
  <si>
    <t>Примеры показателей</t>
  </si>
  <si>
    <t>Фокус на секторе</t>
  </si>
  <si>
    <t>Жизнь</t>
  </si>
  <si>
    <t>Достоинство</t>
  </si>
  <si>
    <t>Права и свободы человека</t>
  </si>
  <si>
    <t>Патриотизм</t>
  </si>
  <si>
    <t>Гражданственность</t>
  </si>
  <si>
    <t>Служение Отечеству и ответственность за его судьбу</t>
  </si>
  <si>
    <t>Вид блага</t>
  </si>
  <si>
    <t>Подвид</t>
  </si>
  <si>
    <t>Высокие нравственные идеалы</t>
  </si>
  <si>
    <t>Инструментальные /Внутренние</t>
  </si>
  <si>
    <t>Крепкая семья</t>
  </si>
  <si>
    <t>Показатель 1</t>
  </si>
  <si>
    <t>Созидательный труд</t>
  </si>
  <si>
    <t>Показатель 2 (опционально)</t>
  </si>
  <si>
    <t>Приоритет духовного над материальным</t>
  </si>
  <si>
    <t>Гуманизм</t>
  </si>
  <si>
    <t>Милосердие</t>
  </si>
  <si>
    <t>Справедливость</t>
  </si>
  <si>
    <t>Коллективизм</t>
  </si>
  <si>
    <t>Повышение уровня знаний</t>
  </si>
  <si>
    <t>Взаимопомощь и взаимоуважение</t>
  </si>
  <si>
    <t>Историческая память и преемственность поколений</t>
  </si>
  <si>
    <t>Частные</t>
  </si>
  <si>
    <t>Единство народов России</t>
  </si>
  <si>
    <t>Инструментальные</t>
  </si>
  <si>
    <t>Ответственное отношение к своему здоровью</t>
  </si>
  <si>
    <t>Возможности самореализации</t>
  </si>
  <si>
    <t>Развитие гражданского участия, вовлеченности</t>
  </si>
  <si>
    <t>Увеличение числа граждан (молодежи), стремящихся жить и работать на родине</t>
  </si>
  <si>
    <t>Укрепление единства и сплоченности общества на основе гражданской идентичности, сохранение духовно-нравственных ценностей</t>
  </si>
  <si>
    <t>Сообщество, общественность, широкая публика</t>
  </si>
  <si>
    <t>Качественный рост культурных и досуговых запросов граждан, в том числе в отношении медиапродукции</t>
  </si>
  <si>
    <t>Рост общественной ценности и повышение статуса семьи</t>
  </si>
  <si>
    <t xml:space="preserve">Увеличилась трудовая мобильность работников сферы искусства (в т. ч. студентов профильных ВУЗов) из центров в регионы </t>
  </si>
  <si>
    <t>Cпособность понимать и ценить искусство и культуру</t>
  </si>
  <si>
    <t>Изменение чувства валидированности (не стигматизированности)</t>
  </si>
  <si>
    <t>Улучшенные навыки коммуникации</t>
  </si>
  <si>
    <t>Развитие эмоционального интеллекта</t>
  </si>
  <si>
    <t>Консолидация местного сообщества</t>
  </si>
  <si>
    <t>Изменение понимания/ ожиданий возможностей самореализации</t>
  </si>
  <si>
    <t>Национальная идентичность / развитие межнациональных / межкультурных связей</t>
  </si>
  <si>
    <t>Мотивация активного образа жизни</t>
  </si>
  <si>
    <t>Повышение удовлетворенностью жизнью</t>
  </si>
  <si>
    <t>Рост социального капитала</t>
  </si>
  <si>
    <t>Обеспечение условий для развлечений, удовольствий, радости</t>
  </si>
  <si>
    <t xml:space="preserve">Развитие рынка труда в сфере культуры
</t>
  </si>
  <si>
    <t>Повышение социокультурного потенциала общества</t>
  </si>
  <si>
    <t>Вдохновение</t>
  </si>
  <si>
    <t xml:space="preserve">Доступность среды </t>
  </si>
  <si>
    <t xml:space="preserve">Развитие контактов между поколениями </t>
  </si>
  <si>
    <t>Понимание себя как части культуры, общества</t>
  </si>
  <si>
    <t>Гармонизация социально-экономического развития регионов страны, особенно малых городов и сельских поселений</t>
  </si>
  <si>
    <t>Поддержка людей в том, чтобы позитивно встречать риски</t>
  </si>
  <si>
    <t>Изменение чувства безопасности</t>
  </si>
  <si>
    <t>Вклад в личностное развитие</t>
  </si>
  <si>
    <t>Внутренние</t>
  </si>
  <si>
    <t>Обеспечение возможности отвлечения от повседневных забот</t>
  </si>
  <si>
    <t xml:space="preserve">Рост цифровизации сферы культуры и искусства </t>
  </si>
  <si>
    <t>Безопасность среды</t>
  </si>
  <si>
    <t>Развитие сообщества творческих профессионалов</t>
  </si>
  <si>
    <t>Повышение общей удовлетворенности жизнью через самовыражение</t>
  </si>
  <si>
    <t>Изменение отношения к культуре, обществу, наследию, экологии …</t>
  </si>
  <si>
    <t>Удовольствие</t>
  </si>
  <si>
    <t>Вовлечение жителей в процесс развития региона</t>
  </si>
  <si>
    <t>Освоенность общественных зон</t>
  </si>
  <si>
    <t>Владение русским литературным языком, знание истории страны</t>
  </si>
  <si>
    <t>Активизация культурного потенциала территорий</t>
  </si>
  <si>
    <t>Развитие лидерских качеств</t>
  </si>
  <si>
    <t>Вклад в экономическое благополучие региона</t>
  </si>
  <si>
    <t xml:space="preserve">Обогащение культурно-интеллектуального досуга жителей и гостей </t>
  </si>
  <si>
    <t>Повышение эффектов благополучия (стресс, самооценка, уверенность, удовольствие…)</t>
  </si>
  <si>
    <t>Расширение участия в социальной деятельности</t>
  </si>
  <si>
    <t>Расширение пользовательского и культурного опыта жителей  за счет участия в событиях различных форматов</t>
  </si>
  <si>
    <t>Содействие людям в исследовании своих ценностей, смыслов и мечтаний</t>
  </si>
  <si>
    <t>Повышение ожиданий публики от уровня культурных событий в городе в целом, интерес к новым именам (расширение кругозора и мотивации)</t>
  </si>
  <si>
    <t>Повышение знаний и актуализация представления о современной культурной, образовательной, литературной повестках России</t>
  </si>
  <si>
    <t>Расширение участия</t>
  </si>
  <si>
    <t>Частные с общественным эффектом</t>
  </si>
  <si>
    <t>Повышение самоэффективности</t>
  </si>
  <si>
    <t>Повышение навыков обучения</t>
  </si>
  <si>
    <t>Расширенная способность к сопереживанию</t>
  </si>
  <si>
    <t>Расширенная способность к саморефлексии</t>
  </si>
  <si>
    <t>Сохранение наследия</t>
  </si>
  <si>
    <t>Когнитивный рост</t>
  </si>
  <si>
    <t>Формирование идентичности</t>
  </si>
  <si>
    <t>Возможность отвлечения от повседневных забот</t>
  </si>
  <si>
    <t>Развитие партнерств</t>
  </si>
  <si>
    <t>Общественные</t>
  </si>
  <si>
    <t>Образование</t>
  </si>
  <si>
    <t>Здоровье</t>
  </si>
  <si>
    <t>Содействие развитию сообщества</t>
  </si>
  <si>
    <t>Экология</t>
  </si>
  <si>
    <t>Повышение уровня знаний в обществе</t>
  </si>
  <si>
    <t>Социальная сфера</t>
  </si>
  <si>
    <t>Укрепление социального капитала</t>
  </si>
  <si>
    <t>Местное развитие</t>
  </si>
  <si>
    <t>Городская среда</t>
  </si>
  <si>
    <t>Формирование идентичности и узнаваемости</t>
  </si>
  <si>
    <t>Культура</t>
  </si>
  <si>
    <t>Вклад в экономику региона</t>
  </si>
  <si>
    <t>Развитие социального капитала</t>
  </si>
  <si>
    <t>Создание социальных связей</t>
  </si>
  <si>
    <t>Проявление общественной значимости</t>
  </si>
  <si>
    <t>Капитализация культурных организаций и проектов</t>
  </si>
  <si>
    <t>Тип результата/Результат</t>
  </si>
  <si>
    <t>Показатель</t>
  </si>
  <si>
    <t>Фокус на благополучателе</t>
  </si>
  <si>
    <t>Отдельные люди</t>
  </si>
  <si>
    <t>Повышение самоэффективности,</t>
  </si>
  <si>
    <t>Изменение знаний и навыков</t>
  </si>
  <si>
    <t>Изменение поведения</t>
  </si>
  <si>
    <t>Расширение потенциала</t>
  </si>
  <si>
    <t>Вдохновение новыми идеями</t>
  </si>
  <si>
    <t>Экономика</t>
  </si>
  <si>
    <t>Прямой вклад в экономическое развитие как поставщика услуг</t>
  </si>
  <si>
    <t>Расширение возможностей получения знаний (по сферам/отраслям знаний)</t>
  </si>
  <si>
    <t>Мотивация активного времяпровождения</t>
  </si>
  <si>
    <t>Формирование отношения к бережливости, уважения к наследию, созданному помимо тебя, включая природу</t>
  </si>
  <si>
    <t>Услуги для людей с ограниченными возможностями</t>
  </si>
  <si>
    <t>Консолидация сообщества</t>
  </si>
  <si>
    <t>Городская реновация</t>
  </si>
  <si>
    <t>чувство связи с прошлым (история, наследие, идентичность)</t>
  </si>
  <si>
    <t>Прямой и косвенный вклад в занятость</t>
  </si>
  <si>
    <t>Развитие когнитивных способностей</t>
  </si>
  <si>
    <t>Влияние на психическое самочувствие, психологическую реабилитацию</t>
  </si>
  <si>
    <t>Экологическая осведомленность / Повышение экологических знаний, осведомленность об экологических проблемах</t>
  </si>
  <si>
    <t>«Точка» формирования соц. Ответственности</t>
  </si>
  <si>
    <t>Формирование гордости, уважительного отношения к месту проживания</t>
  </si>
  <si>
    <t>Привлекательность региона</t>
  </si>
  <si>
    <t>уважение к разнообразию и непохожести</t>
  </si>
  <si>
    <t>Повышение привлекательности для туристов (иностранных и из других регионов)</t>
  </si>
  <si>
    <t>Влияние на уровень грамотности и успеваемость молодежи</t>
  </si>
  <si>
    <t>Воздействие на отношение к своему здоровью</t>
  </si>
  <si>
    <t>Формирование отношения к разнообразию</t>
  </si>
  <si>
    <t>Система услуг для пожилых / для людей с ограниченными возможностями</t>
  </si>
  <si>
    <t>Развитие гражданского участия, вовлечённости, ответственности, местного политического процесса</t>
  </si>
  <si>
    <t>Доступность среды</t>
  </si>
  <si>
    <t>опыт переживания эстетического удовольствия</t>
  </si>
  <si>
    <t>Вклад в креативную экономику, творческие навыки предпринимателей</t>
  </si>
  <si>
    <t>Поощрение взрослых использовать возможности образования и профессиональной подготовки на протяжении всей жизни</t>
  </si>
  <si>
    <t>Мотивация путешествий и активного времяпровождения</t>
  </si>
  <si>
    <t>Позитивное ощущение места</t>
  </si>
  <si>
    <t>Снижение стигматизации и маргинализации</t>
  </si>
  <si>
    <t>Привлекательность «точки» культуры для творческих людей и профессий, влияние на состав населения и за счёт этого на благополучие территории</t>
  </si>
  <si>
    <t>Эстетические качества среды</t>
  </si>
  <si>
    <t>выражение общих смыслов (включая духовную, трансперсональную связь)</t>
  </si>
  <si>
    <t>Влияние на малый ремесленный бизнес</t>
  </si>
  <si>
    <t>Позитивная связь с миром природы</t>
  </si>
  <si>
    <t>Равенство возможностей</t>
  </si>
  <si>
    <t>Изменение благополучия локального сообщества / рост социального капитала</t>
  </si>
  <si>
    <t>стимуляция креативности</t>
  </si>
  <si>
    <t>Спрос на инженерно-технические решения и инновационные технологии (климатическая техника, охранная техника и безопасность, освещение, системы хранения, противодействие правонарушениям в сфере культуры)</t>
  </si>
  <si>
    <t>Экологичные привычки и поведение</t>
  </si>
  <si>
    <t>Помощь правонарушителям и потерпевшим в решении проблемы преступности</t>
  </si>
  <si>
    <t>Чувство принадлежности, причастности, вовлеченности</t>
  </si>
  <si>
    <t>возможность творческого или символического самовыражения</t>
  </si>
  <si>
    <t>Влияние на стоимость близлежащей недвижимости</t>
  </si>
  <si>
    <t>Снижение антропогенного воздействия</t>
  </si>
  <si>
    <t>Альтернативная сфера досуга, сужающая «пространство» для асоциальной и противоправной деятельности</t>
  </si>
  <si>
    <t>Содействие развитию партнерства</t>
  </si>
  <si>
    <t>Вовлечение местных жителей в процесс возрождения территорий</t>
  </si>
  <si>
    <t>развитие сообщества художников, креативных индустрий,</t>
  </si>
  <si>
    <t>Влияние на защиту авторских прав и историческую доказательность</t>
  </si>
  <si>
    <t>Зеленый менеджмент и девелопмент среды</t>
  </si>
  <si>
    <t>Уменьшение изоляции, через обретение новых дружеских связей</t>
  </si>
  <si>
    <t>Вызов традиционному способу предоставления услуг</t>
  </si>
  <si>
    <t>возможности самовыражения членов локального сообщества через вовлечение в творческие практики</t>
  </si>
  <si>
    <t>Конкурентоспособность региона</t>
  </si>
  <si>
    <t>Развитие контактов между поколениями</t>
  </si>
  <si>
    <t>Содействие созданию более спокойной атмосферы в медицинских центрах</t>
  </si>
  <si>
    <t>практики рефлексии</t>
  </si>
  <si>
    <t>Помощь в изменении имиджа общественных организаций или государственных органов</t>
  </si>
  <si>
    <t>Патриотизм, Гражданственность, Высокие нравственные идеалы, Приоритет духовного над материальным, Взаимопомощь и взаимоуважение</t>
  </si>
  <si>
    <t>Вклад в развитие взаимодействия и партнерства</t>
  </si>
  <si>
    <t>Вклад в экономику</t>
  </si>
  <si>
    <t>Патриотизм, Гражданственность, Высокие нравственные идеалы, Историческая память и преемственность поколений</t>
  </si>
  <si>
    <t>Права и свободы человека, Достоинство, Гуманизм, Милосердие, Взаимопомощь и взаимоуважение, Справедливость</t>
  </si>
  <si>
    <t>Капитализация культурных институций</t>
  </si>
  <si>
    <t>Высокие нравственные идеалы, Приоритет духовного над материальным</t>
  </si>
  <si>
    <t>Гражданственность, Служение Отечеству и ответственность за его судьбу, Коллективизм, Историческая память и преемственность поколений</t>
  </si>
  <si>
    <t>Частные блага</t>
  </si>
  <si>
    <t>Частные блага с общественным эффектом</t>
  </si>
  <si>
    <t>Общественные блага</t>
  </si>
  <si>
    <t>Гражданственность, Историческая память и преемственность поколений</t>
  </si>
  <si>
    <t>Права и свободы человека, Гражданственность</t>
  </si>
  <si>
    <t>Гуманизм, Коллективизм, Историческая память и преемственность поколений</t>
  </si>
  <si>
    <t>Созидательный труд, Коллективизм</t>
  </si>
  <si>
    <t>Взаимопомощь и взаимоуважение, Милосердие, Гуманизм</t>
  </si>
  <si>
    <t>Гражданственность, Служение Отечеству и ответственность за его судьбу</t>
  </si>
  <si>
    <t>Гражданственность, Гуманизм</t>
  </si>
  <si>
    <t>Содействие ведению текущей деятельности  культурных институций</t>
  </si>
  <si>
    <t>Патриотизм, Гражданственность, Служение Отечеству и ответственность за его судьбу, Высокие нравственные идеалы, Приоритет духовного над материальным</t>
  </si>
  <si>
    <t>Фокус на социокультурных благах</t>
  </si>
  <si>
    <t>Семьи и социальные группы</t>
  </si>
  <si>
    <t>Бизнес-сообщество, правительство, экономические субъекты</t>
  </si>
  <si>
    <t>Социокультурная институция / команда</t>
  </si>
  <si>
    <t>Показатель 2</t>
  </si>
  <si>
    <t>Показатель 3</t>
  </si>
  <si>
    <t>Служение Отечеству и ответственность за его судьбу, Гражданственность</t>
  </si>
  <si>
    <t>Доля участников, включившихся в волонтерские/шефские программы проекта на постоянной основе (спустя 3 месяца).</t>
  </si>
  <si>
    <t>Количество социальных инициатив, запущенных участниками проекта для местного сообщества без внешнего финансирования.</t>
  </si>
  <si>
    <t>Количество вновь выявленных объектов нематериального культурного наследия (обрядов, песен, ремесел) с участием местных жителей.</t>
  </si>
  <si>
    <t>Рост туристического потока (экскурсантов) на ранее не популярные локации территории.</t>
  </si>
  <si>
    <t>Жизнь, Достоинство</t>
  </si>
  <si>
    <t>Снижение числа обращений в полицию по делам о правонарушениях в районе проведения мероприятий в вечернее время (в сравнении с прошлым годом).</t>
  </si>
  <si>
    <t>Охват целевой «трудной» аудитории (количество подростков из группы риска, регулярно посещающих площадку).</t>
  </si>
  <si>
    <t>Количество выявленных и устраненных архитектурно-конструктивных дефектов (разбитые ступени, темные зоны) силами проектной команды.</t>
  </si>
  <si>
    <t>Индекс субъективного ощущения безопасности (по результатам опроса местных жителей, % чувствующих себя в безопасности).</t>
  </si>
  <si>
    <t>Жизнь, Приоритет духовного над материальным</t>
  </si>
  <si>
    <t>Количество творческих работ (стихов, картин, эссе), созданных участниками под впечатлением от проекта.</t>
  </si>
  <si>
    <t>Количество участников, изменивших свой ежедневный график/род занятий для продолжения деятельности в сфере культуры (самореализация).</t>
  </si>
  <si>
    <t>Количество стартапов или социальных проектов, поданных на грантовые конкурсы, чья концепция родилась на площадках проекта.</t>
  </si>
  <si>
    <t>Количество междисциплинарных коллабораций (музыка+наука, театр+IT), созданных по инициативе участников.</t>
  </si>
  <si>
    <t>Жизнь, Созидательный труд</t>
  </si>
  <si>
    <t>Количество предпринимателей, прошедших обучение и внедривших креативные инструменты (сторителлинг, брендинг) в свои бизнес-процессы.</t>
  </si>
  <si>
    <t>Рост среднего чека в творческих мастерских участников проекта за счет внедрения новых продуктовых линеек.</t>
  </si>
  <si>
    <t>Положительная динамика в уровне эмоционального интеллекта и самооценки (по методикам опросников «до/после»).</t>
  </si>
  <si>
    <t>Количество участников, получивших новые профессиональные компетенции (сертификаты, навыки) и применивших их на основной работе.</t>
  </si>
  <si>
    <t>Количество новых устойчивых партнерств (Меморандумов/договоров) между НКО, бизнесом и властью, заключенных благодаря проекту.</t>
  </si>
  <si>
    <t>Количество совместных мероприятий, проведенных в тандеме с другими учреждениями культуры района.</t>
  </si>
  <si>
    <t>Объем внебюджетных средств (спонсорских, грантовых), привлеченных в локальный оборот на реализацию проекта.</t>
  </si>
  <si>
    <t>Количество созданных временных рабочих мест для местных жителей (организаторы, волонтеры, технический персонал).</t>
  </si>
  <si>
    <t>Увеличение налоговых поступлений от субъектов МСП, задействованных в проекте (в календарный период).</t>
  </si>
  <si>
    <t>Рост инвестиционной привлекательности района (количество запросов от инвесторов после PR-кампании проекта).</t>
  </si>
  <si>
    <t>Изменение индекса качества городской среды в конкретном локальном квартале после благоустройства.</t>
  </si>
  <si>
    <t>Рост потребительской активности в локальных точках (кафе, магазины) во время проведения мероприятий проекта.</t>
  </si>
  <si>
    <t>Снижение количества орфографических и стилистических ошибок в текстах участников (до и после образовательного блока).</t>
  </si>
  <si>
    <t>Количество экскурсий/лекций по локальной и общей истории, проведенных силами подготовленных участников-волонтеров.</t>
  </si>
  <si>
    <t>Количество оформленных заявок на регистрацию товарных знаков / патентов у участников-ремесленников после консультаций.</t>
  </si>
  <si>
    <t>Количество публикаций в СМИ с использованием выверенных исторических фактов (опровержение фейков) при участии экспертов проекта.</t>
  </si>
  <si>
    <t>Историческая память и преемственность поколений, Созидательный труд</t>
  </si>
  <si>
    <t>Количество ремесленников, увеличивших объемы производства (в денежном или штучном выражении) благодаря новой сбытовой сети проекта.</t>
  </si>
  <si>
    <t>Доля ремесленной продукции, реализованной на ярмарках проекта, в общем доходе мастера за сезон.</t>
  </si>
  <si>
    <t>Жизнь, Гуманизм, Милосердие</t>
  </si>
  <si>
    <t>Снижение уровня тревожности у постоянной аудитории (по шкале самооценки Спилбергера-Ханина, замер на старте и финише)</t>
  </si>
  <si>
    <t>Отмеченные ценности</t>
  </si>
  <si>
    <t>Количество благодарственных отзывов от участников с подтвержденной психосоматической положительной динамикой.</t>
  </si>
  <si>
    <t>Предложения по изменению</t>
  </si>
  <si>
    <t>Изменение средней цены за кв. метр в радиусе 1 км от места реализации проекта (анализ риэлторских баз).</t>
  </si>
  <si>
    <t>Сокращение срока экспозиции (времени продажи) объектов недвижимости в локации проекта.</t>
  </si>
  <si>
    <t>Улучшение среднего балла по предметам гуманитарного цикла у школьников — постоянных участников проекта.</t>
  </si>
  <si>
    <t>Количество школьников, поступивших в профильные творческие вузы/колледжи после участия в проекте.</t>
  </si>
  <si>
    <t>Количество местных жителей, вошедших в общественные советы и рабочие группы при администрации.</t>
  </si>
  <si>
    <t>Количество поданных через платформу проекта «народных инициатив» (предложений по улучшению городской среды).</t>
  </si>
  <si>
    <t>Служение Отечеству и ответственность за его судьбу, Гражданственность, Патриотизм</t>
  </si>
  <si>
    <t>Количество жителей, регулярно участвующих в субботниках, проектных сессиях и голосованиях по развитию общественных пространств (не менее 3 раз за сезон).</t>
  </si>
  <si>
    <t>Доля предложений по благоустройству, выдвинутых жителями и включенных в итоговый план муниципальных работ.</t>
  </si>
  <si>
    <t>Рост числа участников, прошедших профилактические обследования после просветительских акций проекта (сравнение с контрольной группой).</t>
  </si>
  <si>
    <t>Увеличение доли респондентов, отметивших улучшение режима сна, питания или физической активности (опрос через 3 месяца).</t>
  </si>
  <si>
    <t>Количество публичных презентаций (выставок, читок, концертов), организованных участниками из местного сообщества.</t>
  </si>
  <si>
    <t>Индекс разнообразия используемых жанров и техник (по количеству заявленных направлений) в сравнении с предыдущим периодом.</t>
  </si>
  <si>
    <t>Количество участников, получивших конкретный статус (диплом, сертификат, грант) или признание на региональном уровне.</t>
  </si>
  <si>
    <t xml:space="preserve"> Увеличение доли участников, отметивших рост самооценки и ощущения полезности (по шкале удовлетворенности).</t>
  </si>
  <si>
    <t>Средний уровень субъективного снятия стресса после мероприятия (по 10-балльной шкале «до/после»).</t>
  </si>
  <si>
    <t>Количество посетителей, регулярно возвращающихся на площадку в «тяжелые» будни (вечерние часы).</t>
  </si>
  <si>
    <t>Количество созданных арт-объектов, инсталляций или символических работ, оставленных в публичном пространстве.</t>
  </si>
  <si>
    <t>Доля участников, отметивших в анкетах, что через проект смогли передать свои переживания или ценности.</t>
  </si>
  <si>
    <t>Жизнь, Права и свободы человека</t>
  </si>
  <si>
    <t>Количество внедренных экспериментальных форматов (онлайн-регистрация, мобильное приложение, гибкое расписание) с оценкой обратной связи.</t>
  </si>
  <si>
    <t>Рост числа пользователей, выбравших новый формат вместо традиционного (по данным опроса).</t>
  </si>
  <si>
    <t>Количество созданных совместных ритуалов или коллективных действий (шествия, перформансы, общие молитвы/медитации), вовлекших разные группы.</t>
  </si>
  <si>
    <t>Индекс сплоченности (по методике групповой идентичности), замеряемый до и после проекта.</t>
  </si>
  <si>
    <t>Служение Отечеству и ответственность за его судьбу, Единство народов России, Патриотизм</t>
  </si>
  <si>
    <t>Снижение разрыва в уровне досуговой активности между малым городом и областным центром (в часах посещения культуры на душу).</t>
  </si>
  <si>
    <t>Рост количества зарегистрированных субъектов МСП в сфере услуг на территории после старта проекта.</t>
  </si>
  <si>
    <t>Количество объектов (фасадов, дворов, скверов), приведенных в порядок в рамках проекта.</t>
  </si>
  <si>
    <t>Рост посещаемости реновированных зон (по счетчикам или данным мобильных операторов) по сравнению с предыдущим годом.</t>
  </si>
  <si>
    <t>Доля участников, указавших в анкете, что почувствовали уважение к себе и своей деятельности (опрос «до/после»).</t>
  </si>
  <si>
    <t>Количество публичных упоминаний в СМИ, где проект связан с повышением самоуважения местных жителей.</t>
  </si>
  <si>
    <t>Количество устраненных физических барьеров (пандусы, тактильная плитка, адаптированные туалеты) на площадках проекта.</t>
  </si>
  <si>
    <t>Доля посетителей с ограниченными возможностями здоровья среди общей аудитории (рост в процентах).</t>
  </si>
  <si>
    <t>Количество высаженных деревьев/кустарников и объем использованных экологичных материалов (в тоннах/кв.м).</t>
  </si>
  <si>
    <t>Сокращение углеродного следа мероприятий (расчет на одного посетителя) за счет раздельного сбора и локального снабжения.</t>
  </si>
  <si>
    <t>Жизнь, Достоинство, Права и свободы человека</t>
  </si>
  <si>
    <t>Рост числа взаимных визитов и совместных инициатив между соседями (фиксация новых микропроектов).</t>
  </si>
  <si>
    <t>Индекс доверия к соседям и местным организациям (по методике опроса).</t>
  </si>
  <si>
    <t>Средний балл прироста в тестировании по конкретным компетенциям (например, цифровая грамотность, ремесло).</t>
  </si>
  <si>
    <t>Количество выданных сертификатов/свидетельств о прохождении обучения.</t>
  </si>
  <si>
    <t>Рост доли жителей, считающих местное наследие важным (опрос).</t>
  </si>
  <si>
    <t>Количество людей, принявших участие в экологических акциях после культурных событий.</t>
  </si>
  <si>
    <t>Увеличение частоты посещения культурных событий в месяц (по дневникам участников).</t>
  </si>
  <si>
    <t>Количество устойчивых привычек (например, использование многоразовой посуды, отказ от курения), зафиксированных через повторные опросы.</t>
  </si>
  <si>
    <t>Рост амбиций – доля участников, планирующих сменить работу или начать свое дело (опрос).</t>
  </si>
  <si>
    <t>Количество заявок на новые образовательные программы, поданных после участия.</t>
  </si>
  <si>
    <t>Снижение числа жалоб на хулиганство и вандализм в зоне проекта (по данным УК или администрации).</t>
  </si>
  <si>
    <t>Рост оценки безопасности по 5-балльной шкале среди местных жителей.</t>
  </si>
  <si>
    <t>Доля участников из уязвимых групп, отметивших снижение ощущения отверженности (интервью).</t>
  </si>
  <si>
    <t>Количество позитивных упоминаний в соцсетях о представителях этих групп в контексте проекта.</t>
  </si>
  <si>
    <t>Рост собственных доходов учреждения (от продажи билетов, сувениров, аренды) за период проекта.</t>
  </si>
  <si>
    <t>Увеличение стоимости нематериальных активов (бренда, репутации) по оценке независимых экспертов.</t>
  </si>
  <si>
    <t>Объем внебюджетных инвестиций, привлеченных на развитие проекта.</t>
  </si>
  <si>
    <t>Количество партнеров, готовых финансировать следующие сезоны.</t>
  </si>
  <si>
    <t xml:space="preserve">Рост числа запросов в поисковых системах на темы, связанные с проектом </t>
  </si>
  <si>
    <t>Увеличение доли зрителей, выбирающих сложные жанры (опера, балет, лекции) вместо развлекательных.</t>
  </si>
  <si>
    <t>Рост показателей кратковременной памяти и логического мышления (по тесту Равена) у постоянных участников.</t>
  </si>
  <si>
    <t>Количество решенных творческих задач в ходе воркшопов (на единицу времени).</t>
  </si>
  <si>
    <t>Рост позиции региона в рейтинге инвестиционной привлекательности (национальные рейтинги).</t>
  </si>
  <si>
    <t>Увеличение числа деловых миссий и переговоров, инициированных гостями проекта.</t>
  </si>
  <si>
    <t>Рост числа совместных инициатив, поддержанных голосованием на сходах.</t>
  </si>
  <si>
    <t>Снижение числа конфликтов между соседями (по данным мировой юстиции) в районе.</t>
  </si>
  <si>
    <t>Рост числа зарегистрированных участников спортивно-досуговых групп после проекта.</t>
  </si>
  <si>
    <t>Увеличение километража пешеходных маршрутов в парках (по данным трекеров).</t>
  </si>
  <si>
    <t>Количество человек, купивших спортивный инвентарь или абонементы после мотивационных акций.</t>
  </si>
  <si>
    <t>Снижение доли сидячего досуга (ТВ/гаджеты) по самоотчетам участников.</t>
  </si>
  <si>
    <t>Рост числа запросов на туристические маршруты по территории (в офисе туризма).</t>
  </si>
  <si>
    <t>Количество новых геодневников и блогов, созданных участниками во время поездок.</t>
  </si>
  <si>
    <t>Количество совместных мероприятий разных этнических групп.</t>
  </si>
  <si>
    <t>Рост индекса толерантности и гордости за свою страну (опрос).</t>
  </si>
  <si>
    <t>Количество посетителей, указавших «эмоциональную перезагрузку» в отзывах.</t>
  </si>
  <si>
    <t>Средняя продолжительность пребывания на площадке в сравнении с типичными городскими местами.</t>
  </si>
  <si>
    <t>Рейтинг радости (средняя оценка 10-балльной шкалы) по итогам каждого мероприятия.</t>
  </si>
  <si>
    <t>Количество повторных посещений (один и тот же участник приходит снова).</t>
  </si>
  <si>
    <t>Количество уникальных форматов событий (лекций, квизов, мастер-классов) в месяц.</t>
  </si>
  <si>
    <t>Рост числа посетителей из других районов/городов.</t>
  </si>
  <si>
    <t>Доля зрителей, испытавших сильные эмоции (по шкале пика переживания).</t>
  </si>
  <si>
    <t>Количество фотографий/постов в соцсетях с хештегом проекта и словом «красота».</t>
  </si>
  <si>
    <t>Увеличение среднего времени пребывания людей в зоне (замеры в разное время суток).</t>
  </si>
  <si>
    <t>Количество новых малых форм (лавок, урн, освещения) и их использование.</t>
  </si>
  <si>
    <t>Рост доли участников, проходящих регулярные медосмотры.</t>
  </si>
  <si>
    <t>Количество отказов от вредных привычек в рамках проекта (зафиксировано в дневниках).</t>
  </si>
  <si>
    <t>Количество правильных ответов в тесте по актуальным литературным новинкам и трендам.</t>
  </si>
  <si>
    <t>Число участников, назвавших имена современных деятелей культуры после проекта.</t>
  </si>
  <si>
    <t>Снижение времени на выполнение учебных задач в группах (замер эффективности).</t>
  </si>
  <si>
    <t>Количество примененных новых техник конспектирования, мнемоники.</t>
  </si>
  <si>
    <t>Рост среднего балла удовлетворенности жизнью (по шкале Кантрила) у постоянных участников.</t>
  </si>
  <si>
    <t>Количество записей в дневниках с выражением благодарности проекту.</t>
  </si>
  <si>
    <t>Рост средней оценки за событие (по сравнению с аналогичными в прошлом году).</t>
  </si>
  <si>
    <t>Количество требований/предложений о более сложном контенте в анкетах.</t>
  </si>
  <si>
    <t>Рост числа ночевок в гостиницах и гостевых домах в период проведения проекта.</t>
  </si>
  <si>
    <t>Количество уникальных посетителей из других регионов (по данным билетных систем).</t>
  </si>
  <si>
    <t>Рост уверенности в своих силах (по шкале самоэффективности Шварцера).</t>
  </si>
  <si>
    <t>Количество самостоятельных проектов, запущенных участниками без поддержки кураторов.</t>
  </si>
  <si>
    <t>Индекс разнообразия культурных мероприятий на душу населения.</t>
  </si>
  <si>
    <t>Рост доли населения, посещающего хотя бы одно событие в год.</t>
  </si>
  <si>
    <t>Улучшение эмоционального фона (по опроснику PANAS).</t>
  </si>
  <si>
    <t>Снижение жалоб на скуку и отсутствие досуга.</t>
  </si>
  <si>
    <t>Средний балл по итоговому тесту на знание темы проекта.</t>
  </si>
  <si>
    <t>Количество правильно решенных кейсов в группах.</t>
  </si>
  <si>
    <t>Снижение уровня кортизола (по возможности – замеры), или субъективное снижение стресса.</t>
  </si>
  <si>
    <t>Рост самооценки по шкале Розенберга.</t>
  </si>
  <si>
    <t>Количество участников, принявших участие в рискованных (но безопасных) активностях, например, дебатах, публичных выступлениях.</t>
  </si>
  <si>
    <t>Рост толерантности к неопределенности (опрос).</t>
  </si>
  <si>
    <t>Количество созданных природных арт-объектов (инсталляции из веток, камней).</t>
  </si>
  <si>
    <t>Рост времени, проведенного на открытом воздухе (по трекерам).</t>
  </si>
  <si>
    <t>Рост индекса привязанности к месту (опрос).</t>
  </si>
  <si>
    <t>Количество позитивных отзывов в соцсетях о локации.</t>
  </si>
  <si>
    <t>Рост рейтинга доверия к организации (опрос).</t>
  </si>
  <si>
    <t>Увеличение числа положительных публикаций в СМИ.</t>
  </si>
  <si>
    <t>Количество участников из числа осужденных, охваченных реабилитацией.</t>
  </si>
  <si>
    <t>Снижение рецидивов среди участников проекта (по данным УИИ).</t>
  </si>
  <si>
    <t>Доля участников, отметивших усиление идентичности (опрос).</t>
  </si>
  <si>
    <t>Количество созданных проектов на тему «моя культура» (автобиографические работы).</t>
  </si>
  <si>
    <t>Достоинство, Права и свободы человека</t>
  </si>
  <si>
    <t>Рост числа взрослых слушателей курсов на площадке.</t>
  </si>
  <si>
    <t>Количество полученных дополнительных профессий/навыков среди участников старше 45 лет.</t>
  </si>
  <si>
    <t>Количество регулярных рефлексивных дневников, заполняемых участниками.</t>
  </si>
  <si>
    <t>Рост умения формулировать собственные цели (по методике самоотчета).</t>
  </si>
  <si>
    <t>Рост числа резидентов-творцов, работающих на площадке.</t>
  </si>
  <si>
    <t>Увеличение доли креативных профессий среди жителей района (по данным статистики).</t>
  </si>
  <si>
    <t>Рост числа запросов в поисковиках «переезд в регион».</t>
  </si>
  <si>
    <t>Увеличение прямых иностранных инвестиций в креативный сектор.</t>
  </si>
  <si>
    <t>Количество упоминаний проекта в отчетах власти и общественных палат.</t>
  </si>
  <si>
    <t>Увеличение числа волонтеров, присоединившихся к проекту без агитации.</t>
  </si>
  <si>
    <t>Объем доходов от платных услуг проекта (билеты, аренда).</t>
  </si>
  <si>
    <t>Количество новых договоров с внешними заказчиками.</t>
  </si>
  <si>
    <t>Количество созданных постоянных рабочих мест (трудовые договоры).</t>
  </si>
  <si>
    <t>Рост доходов местных самозанятых, сотрудничающих с проектом.</t>
  </si>
  <si>
    <t>Достоинство, Справедливость, Милосердие, Гуманизм</t>
  </si>
  <si>
    <t>Количество участников из разных социальных групп (по доходам, возрасту, здоровью).</t>
  </si>
  <si>
    <t>Доля льготных мест и доступных мероприятий.</t>
  </si>
  <si>
    <t>Количество подписей, собранных под петициями и инициативами.</t>
  </si>
  <si>
    <t>Рост явки на общественные слушания.</t>
  </si>
  <si>
    <t>Число выдвинутых инициатив с четким планом реализации.</t>
  </si>
  <si>
    <t>Количество участников, избранных в советы домов или ТОС.</t>
  </si>
  <si>
    <t>Рост скорости реакции и решения задач (замеры).</t>
  </si>
  <si>
    <t>Увеличение дивергентного мышления (тест Торренса).</t>
  </si>
  <si>
    <t>Количество совместных мероприятий «дети-взрослые» (парное участие).</t>
  </si>
  <si>
    <t>Рост взаимного уважения (опрос обеих групп).</t>
  </si>
  <si>
    <t>Количество участников, взявших на себя координацию подгрупп.</t>
  </si>
  <si>
    <t>Рост уверенности в публичных выступлениях (по самооценке).</t>
  </si>
  <si>
    <t>Количество новых меморандумов о сотрудничестве.</t>
  </si>
  <si>
    <t>Рост финансирования из совместных бюджетов.</t>
  </si>
  <si>
    <t>Рост числа вакансий в культурной сфере региона.</t>
  </si>
  <si>
    <t>Увеличение средней заработной платы в отрасли (по данным статистики).</t>
  </si>
  <si>
    <t>Количество новых участников творческих объединений.</t>
  </si>
  <si>
    <t>Количество совместных проектов, реализованных без участия организаторов.</t>
  </si>
  <si>
    <t>Коллективизм, Взаимопомощь и взаимоуважение</t>
  </si>
  <si>
    <t>Рост числа резидентов в творческих кластерах.</t>
  </si>
  <si>
    <t>Количество поданных заявок на гранты от местных художников.</t>
  </si>
  <si>
    <t>Индекс плотности социальных связей (по опросу).</t>
  </si>
  <si>
    <t>Количество взаимных услуг (бартерных обменов) между участниками.</t>
  </si>
  <si>
    <t>Рост уровня эмпатии (тест эмоционального интеллекта).</t>
  </si>
  <si>
    <t>Снижение конфликтности в группах (число обращений к медиаторам).</t>
  </si>
  <si>
    <t>Справедливость, Жизнь</t>
  </si>
  <si>
    <t>оличество новых образовательных программ, доступных бесплатно.</t>
  </si>
  <si>
    <t>Рост числа посещений библиотек/медиатек на площадке.</t>
  </si>
  <si>
    <t>Количество посетителей, побывавших на событии впервые в своей жизни.</t>
  </si>
  <si>
    <t>Рост числа форматов, оцененных как «новые» (опрос).</t>
  </si>
  <si>
    <t>Рост амбициозности планов у участников (опрос).</t>
  </si>
  <si>
    <t>Количество новых навыков, осваиваемых за месяц.</t>
  </si>
  <si>
    <t>Рост доли пассивных зрителей, ставших волонтерами.</t>
  </si>
  <si>
    <t>Количество людей, вовлеченных в соавторство.</t>
  </si>
  <si>
    <t>Рост числа регистраций на социальные проекты.</t>
  </si>
  <si>
    <t>Количество выявленных личных изменений (анкета открытого типа).</t>
  </si>
  <si>
    <t>Взаимопомощь и взаимоуважение, Жизнь</t>
  </si>
  <si>
    <t>Рост глубины рефлексивных эссе (по экспертной оценке).</t>
  </si>
  <si>
    <t>Рост индекса эмпатии.</t>
  </si>
  <si>
    <t>Количество актов помощи (денежной, вещевой), инициированных участниками.</t>
  </si>
  <si>
    <t>Участие нескольких поколений одной семьи в проектах.</t>
  </si>
  <si>
    <t>Рост числа семейных мероприятий и положительных отзывов о семейном досуге.</t>
  </si>
  <si>
    <t>Количество новых знакомств, переросших в деловые контакты.</t>
  </si>
  <si>
    <t>Рост уровня межличностного доверия (опрос).</t>
  </si>
  <si>
    <t>Количество оцифрованных единиц хранения / онлайн-экскурсий.</t>
  </si>
  <si>
    <t>Рост онлайн-посещаемости и числа скачиваний.</t>
  </si>
  <si>
    <t>Достоинство, Милосердие, Справедливость</t>
  </si>
  <si>
    <t>Количество адаптированных услуг (специальные сеансы, трансфер).</t>
  </si>
  <si>
    <t>Доля удовлетворенности качеством у этих групп.</t>
  </si>
  <si>
    <t>Снижение объема отходов на мероприятии (в кг).</t>
  </si>
  <si>
    <t>Экономия воды/электричества по сравнению с базовым периодом.</t>
  </si>
  <si>
    <t>Рост позитивных упоминаний о целевых группах в медиа.</t>
  </si>
  <si>
    <t>Количество совместных мероприятий с участием маргинализированных и других групп.</t>
  </si>
  <si>
    <t>Количество дополнительных рейсов/часов работы оборудования.</t>
  </si>
  <si>
    <t>Рост загрузки залов (в часах).</t>
  </si>
  <si>
    <t>Количество глубинных интервью и рефлексивных сессий.</t>
  </si>
  <si>
    <t>Рост числа участников, сформулировавших личные цели на год.</t>
  </si>
  <si>
    <t xml:space="preserve">Количество совместных мероприятий с партнерами. </t>
  </si>
  <si>
    <t>Объем взаимных ресурсов (финансовых, информационных).</t>
  </si>
  <si>
    <t>Гражданственность, Патриотизм, Коллективизм</t>
  </si>
  <si>
    <t>Рост числа активных участников (не менее 1 раза в месяц).</t>
  </si>
  <si>
    <t>Создание чата/группы с постоянной активностью.</t>
  </si>
  <si>
    <t>Достоинство, Милосердие, Гуманизм</t>
  </si>
  <si>
    <t>Количество выступлений/выставок в больницах.</t>
  </si>
  <si>
    <t>Снижение уровня тревожности пациентов (опрос) после контакта с искусством.</t>
  </si>
  <si>
    <t>Количество новых дружеских пар, сохраняющихся через 3 месяца.</t>
  </si>
  <si>
    <t>Рост числа взаимных визитов и встреч вне проекта.</t>
  </si>
  <si>
    <t>Количество отреставрированных предметов/документов.</t>
  </si>
  <si>
    <t>Рост индекса осведомленности о наследии (опрос).</t>
  </si>
  <si>
    <t>Количество внедренных инноваций (климат-контроль, видеоархив)</t>
  </si>
  <si>
    <t>Объем средств, потраченных на приобретение новой техники.</t>
  </si>
  <si>
    <t>Количество оригинальных идей, предложенных участниками (по шкале новизны)</t>
  </si>
  <si>
    <t>Рост баллов по тесту креативности Торренса.</t>
  </si>
  <si>
    <t>Справедливость, Милосердие, Гуманизм</t>
  </si>
  <si>
    <t>Рост терпимости к иным мнениям (опрос).</t>
  </si>
  <si>
    <t>Количество мультикультурных мероприятий с участием разных групп.</t>
  </si>
  <si>
    <t>Права и свободы человека, Созидательный труд, Патриотизм</t>
  </si>
  <si>
    <t>Рост доли выпускников, планирующих остаться в регионе (опрос).</t>
  </si>
  <si>
    <t>Увеличение числа заявок на местные вакансии от молодежи.</t>
  </si>
  <si>
    <t>Количество специалистов, переехавших из столицы в регион для работы.</t>
  </si>
  <si>
    <t>Число гастрольных проектов с участием местных артистов в других городах.</t>
  </si>
  <si>
    <t>Средняя оценка удовольствия по шкале (1-10).</t>
  </si>
  <si>
    <t>Количество спонтанных улыбок/положительных эмоций (наблюдение).</t>
  </si>
  <si>
    <t>Рост индекса социальной сплоченности (опрос).</t>
  </si>
  <si>
    <t>Снижение числа межгрупповых конфликтов.</t>
  </si>
  <si>
    <t>Количество взаимопомощи в решении бытовых проблем.</t>
  </si>
  <si>
    <t>Рост членства в общественных организациях.</t>
  </si>
  <si>
    <t>Рост баллов за эффективность общения в группе (оценка экспертов).</t>
  </si>
  <si>
    <t>Снижение времени на принятие совместных решений.</t>
  </si>
  <si>
    <t>Милосердие, Справедливость, Гуманизм</t>
  </si>
  <si>
    <t>Количество участников, указавших, что нашли друзей.</t>
  </si>
  <si>
    <t>Рост частоты неформальных встреч (кафе, прогулки).</t>
  </si>
  <si>
    <t>Милосердие, Гуманизм, Справедливость</t>
  </si>
  <si>
    <t>Число доступных мероприятий в месяц.</t>
  </si>
  <si>
    <t>Удовлетворенность качеством (опрос).</t>
  </si>
  <si>
    <t>Патриотизм, Гражданственность</t>
  </si>
  <si>
    <t>Рост индекса гордости (опрос).</t>
  </si>
  <si>
    <t>Количество граффити/арт-объектов, прославляющих город.</t>
  </si>
  <si>
    <t>Количество участников, идентифицирующих себя как «человек этого места» (опрос).</t>
  </si>
  <si>
    <t>Создание новых городских символов/брендов.</t>
  </si>
  <si>
    <t>Рост числа упоминаний бренда территории в соцсетях.</t>
  </si>
  <si>
    <t>Количество запросов в поисковиках о территории как о культурном центре.</t>
  </si>
  <si>
    <t>Историческая память и преемственность поколений, Служение Отечеству и ответственность за его судьбу</t>
  </si>
  <si>
    <t>Рост числа участников, сортирующих мусор или экономящих ресурсы.</t>
  </si>
  <si>
    <t>Количество добровольных пожертвований на сохранение памятников.</t>
  </si>
  <si>
    <t>Гуманизм, Милосердие, Справедливость</t>
  </si>
  <si>
    <t>Рост позитивных установок по шкале открытости опыту.</t>
  </si>
  <si>
    <t>Количество совместных проектов разных возрастных/этнических групп.</t>
  </si>
  <si>
    <t>Индекс принадлежности (опрос).</t>
  </si>
  <si>
    <t>Количество участников, присутствующих на всех событиях сезона.</t>
  </si>
  <si>
    <t>Количество исследовательских проектов по генеалогии/краеведению.</t>
  </si>
  <si>
    <t>Рост знаний по истории (тестирование).</t>
  </si>
  <si>
    <t>Рост баллов в тесте на экологическую грамотность.</t>
  </si>
  <si>
    <t>Количество правильно отвеченных вопросов в викторинах.</t>
  </si>
  <si>
    <t>Снижение потребления пластика на мероприятиях (в граммах на человека).</t>
  </si>
  <si>
    <t>Рост доли использующих многоразовую тару.</t>
  </si>
  <si>
    <t>Рост числа положительных оценок внешнего вида территории (опрос).</t>
  </si>
  <si>
    <t>Количество арт-объектов, повышающих эстетику.</t>
  </si>
  <si>
    <t>Рост правильных интерпретаций смыслов в арт-объектах (тест).</t>
  </si>
  <si>
    <t>Количество посещений музеев/выставок после проекта.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</si>
</sst>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&quot;Google Sans&quot;"/>
    </font>
    <font>
      <sz val="12.0"/>
      <color theme="1"/>
      <name val="&quot;Google Sans&quot;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Calibri"/>
    </font>
    <font>
      <i/>
      <color theme="1"/>
      <name val="Arial"/>
      <scheme val="minor"/>
    </font>
    <font>
      <color rgb="FF000000"/>
      <name val="Arial"/>
    </font>
    <font>
      <sz val="12.0"/>
      <color theme="1"/>
      <name val="Arial"/>
      <scheme val="minor"/>
    </font>
    <font>
      <sz val="11.0"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0" fillId="2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5" fontId="3" numFmtId="0" xfId="0" applyAlignment="1" applyFill="1" applyFont="1">
      <alignment readingOrder="0" shrinkToFit="0" wrapText="1"/>
    </xf>
    <xf borderId="0" fillId="6" fontId="3" numFmtId="0" xfId="0" applyAlignment="1" applyFill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7" fontId="3" numFmtId="0" xfId="0" applyAlignment="1" applyFill="1" applyFont="1">
      <alignment readingOrder="0" shrinkToFit="0" wrapText="1"/>
    </xf>
    <xf borderId="0" fillId="0" fontId="1" numFmtId="49" xfId="0" applyAlignment="1" applyFont="1" applyNumberFormat="1">
      <alignment horizontal="left" readingOrder="0" shrinkToFit="0" vertical="center" wrapText="0"/>
    </xf>
    <xf borderId="0" fillId="8" fontId="3" numFmtId="0" xfId="0" applyAlignment="1" applyFill="1" applyFont="1">
      <alignment readingOrder="0" shrinkToFit="0" wrapText="1"/>
    </xf>
    <xf borderId="0" fillId="9" fontId="3" numFmtId="0" xfId="0" applyAlignment="1" applyFill="1" applyFont="1">
      <alignment readingOrder="0" shrinkToFit="0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10" fontId="3" numFmtId="0" xfId="0" applyAlignment="1" applyFill="1" applyFont="1">
      <alignment readingOrder="0" shrinkToFit="0" wrapText="1"/>
    </xf>
    <xf borderId="0" fillId="11" fontId="3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12" fontId="3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13" fontId="3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14" fontId="3" numFmtId="0" xfId="0" applyAlignment="1" applyFill="1" applyFont="1">
      <alignment readingOrder="0" shrinkToFit="0" wrapText="1"/>
    </xf>
    <xf borderId="0" fillId="15" fontId="3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16" fontId="3" numFmtId="0" xfId="0" applyAlignment="1" applyFill="1" applyFont="1">
      <alignment readingOrder="0" shrinkToFit="0" wrapText="1"/>
    </xf>
    <xf borderId="0" fillId="17" fontId="3" numFmtId="0" xfId="0" applyAlignment="1" applyFill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5" numFmtId="0" xfId="0" applyFont="1"/>
    <xf borderId="0" fillId="0" fontId="1" numFmtId="0" xfId="0" applyAlignment="1" applyFont="1">
      <alignment readingOrder="0" shrinkToFit="0" vertical="center" wrapText="0"/>
    </xf>
    <xf borderId="0" fillId="5" fontId="5" numFmtId="0" xfId="0" applyAlignment="1" applyFill="1" applyFont="1">
      <alignment shrinkToFit="0" wrapText="1"/>
    </xf>
    <xf borderId="0" fillId="6" fontId="2" numFmtId="0" xfId="0" applyAlignment="1" applyFill="1" applyFont="1">
      <alignment readingOrder="0" shrinkToFit="0" wrapText="1"/>
    </xf>
    <xf borderId="1" fillId="7" fontId="6" numFmtId="0" xfId="0" applyAlignment="1" applyBorder="1" applyFill="1" applyFont="1">
      <alignment shrinkToFit="0" wrapText="1"/>
    </xf>
    <xf borderId="1" fillId="8" fontId="6" numFmtId="0" xfId="0" applyAlignment="1" applyBorder="1" applyFill="1" applyFont="1">
      <alignment shrinkToFit="0" wrapText="1"/>
    </xf>
    <xf borderId="1" fillId="9" fontId="6" numFmtId="0" xfId="0" applyAlignment="1" applyBorder="1" applyFill="1" applyFont="1">
      <alignment shrinkToFit="0" wrapText="1"/>
    </xf>
    <xf borderId="1" fillId="10" fontId="6" numFmtId="0" xfId="0" applyAlignment="1" applyBorder="1" applyFill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1" fillId="11" fontId="6" numFmtId="0" xfId="0" applyAlignment="1" applyBorder="1" applyFill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18" fontId="1" numFmtId="0" xfId="0" applyAlignment="1" applyFill="1" applyFont="1">
      <alignment readingOrder="0" shrinkToFit="0" wrapText="1"/>
    </xf>
    <xf borderId="0" fillId="13" fontId="5" numFmtId="0" xfId="0" applyAlignment="1" applyFill="1" applyFont="1">
      <alignment readingOrder="0" shrinkToFit="0" wrapText="1"/>
    </xf>
    <xf borderId="0" fillId="0" fontId="1" numFmtId="0" xfId="0" applyAlignment="1" applyFont="1">
      <alignment shrinkToFit="0" vertical="center" wrapText="0"/>
    </xf>
    <xf borderId="1" fillId="14" fontId="6" numFmtId="0" xfId="0" applyAlignment="1" applyBorder="1" applyFill="1" applyFont="1">
      <alignment shrinkToFit="0" wrapText="1"/>
    </xf>
    <xf borderId="0" fillId="15" fontId="1" numFmtId="0" xfId="0" applyAlignment="1" applyFill="1" applyFont="1">
      <alignment readingOrder="0" shrinkToFit="0" wrapText="1"/>
    </xf>
    <xf borderId="1" fillId="17" fontId="6" numFmtId="0" xfId="0" applyAlignment="1" applyBorder="1" applyFill="1" applyFont="1">
      <alignment shrinkToFit="0" wrapText="1"/>
    </xf>
    <xf borderId="0" fillId="4" fontId="5" numFmtId="0" xfId="0" applyAlignment="1" applyFill="1" applyFont="1">
      <alignment readingOrder="0" shrinkToFit="0" wrapText="1"/>
    </xf>
    <xf borderId="0" fillId="6" fontId="5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 shrinkToFit="0" wrapText="1"/>
    </xf>
    <xf borderId="1" fillId="10" fontId="6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0" fillId="18" fontId="5" numFmtId="0" xfId="0" applyAlignment="1" applyFill="1" applyFont="1">
      <alignment readingOrder="0" shrinkToFit="0" wrapText="1"/>
    </xf>
    <xf borderId="0" fillId="13" fontId="5" numFmtId="0" xfId="0" applyAlignment="1" applyFill="1" applyFont="1">
      <alignment readingOrder="0"/>
    </xf>
    <xf borderId="0" fillId="0" fontId="7" numFmtId="0" xfId="0" applyAlignment="1" applyFont="1">
      <alignment readingOrder="0" shrinkToFit="0" vertical="center" wrapText="1"/>
    </xf>
    <xf borderId="1" fillId="2" fontId="6" numFmtId="0" xfId="0" applyAlignment="1" applyBorder="1" applyFill="1" applyFont="1">
      <alignment shrinkToFit="0" wrapText="1"/>
    </xf>
    <xf borderId="0" fillId="3" fontId="5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8" fontId="5" numFmtId="0" xfId="0" applyFill="1" applyFont="1"/>
    <xf borderId="1" fillId="0" fontId="6" numFmtId="0" xfId="0" applyAlignment="1" applyBorder="1" applyFont="1">
      <alignment shrinkToFit="0" wrapText="1"/>
    </xf>
    <xf borderId="0" fillId="18" fontId="5" numFmtId="0" xfId="0" applyFill="1" applyFont="1"/>
    <xf borderId="1" fillId="13" fontId="6" numFmtId="0" xfId="0" applyAlignment="1" applyBorder="1" applyFill="1" applyFont="1">
      <alignment shrinkToFit="0" vertical="bottom" wrapText="1"/>
    </xf>
    <xf borderId="0" fillId="14" fontId="5" numFmtId="0" xfId="0" applyAlignment="1" applyFill="1" applyFont="1">
      <alignment readingOrder="0" shrinkToFit="0" wrapText="1"/>
    </xf>
    <xf borderId="0" fillId="15" fontId="5" numFmtId="0" xfId="0" applyAlignment="1" applyFill="1" applyFont="1">
      <alignment readingOrder="0" shrinkToFit="0" wrapText="1"/>
    </xf>
    <xf borderId="0" fillId="2" fontId="5" numFmtId="0" xfId="0" applyFill="1" applyFont="1"/>
    <xf borderId="1" fillId="4" fontId="6" numFmtId="0" xfId="0" applyAlignment="1" applyBorder="1" applyFill="1" applyFont="1">
      <alignment shrinkToFit="0" wrapText="1"/>
    </xf>
    <xf borderId="0" fillId="9" fontId="5" numFmtId="0" xfId="0" applyFill="1" applyFont="1"/>
    <xf borderId="0" fillId="10" fontId="5" numFmtId="0" xfId="0" applyAlignment="1" applyFill="1" applyFont="1">
      <alignment readingOrder="0" shrinkToFit="0" wrapText="1"/>
    </xf>
    <xf borderId="0" fillId="14" fontId="5" numFmtId="0" xfId="0" applyFill="1" applyFont="1"/>
    <xf borderId="0" fillId="15" fontId="5" numFmtId="0" xfId="0" applyFill="1" applyFont="1"/>
    <xf borderId="0" fillId="17" fontId="5" numFmtId="0" xfId="0" applyFill="1" applyFont="1"/>
    <xf borderId="0" fillId="5" fontId="5" numFmtId="0" xfId="0" applyFill="1" applyFont="1"/>
    <xf borderId="0" fillId="10" fontId="5" numFmtId="0" xfId="0" applyFill="1" applyFont="1"/>
    <xf borderId="1" fillId="11" fontId="6" numFmtId="0" xfId="0" applyAlignment="1" applyBorder="1" applyFill="1" applyFont="1">
      <alignment readingOrder="0" shrinkToFit="0" wrapText="1"/>
    </xf>
    <xf borderId="0" fillId="13" fontId="5" numFmtId="0" xfId="0" applyFill="1" applyFont="1"/>
    <xf borderId="0" fillId="3" fontId="1" numFmtId="0" xfId="0" applyAlignment="1" applyFill="1" applyFont="1">
      <alignment readingOrder="0" shrinkToFit="0" wrapText="1"/>
    </xf>
    <xf borderId="0" fillId="4" fontId="5" numFmtId="0" xfId="0" applyFill="1" applyFont="1"/>
    <xf borderId="0" fillId="7" fontId="5" numFmtId="0" xfId="0" applyFill="1" applyFont="1"/>
    <xf borderId="0" fillId="3" fontId="5" numFmtId="0" xfId="0" applyFill="1" applyFont="1"/>
    <xf borderId="1" fillId="6" fontId="6" numFmtId="0" xfId="0" applyAlignment="1" applyBorder="1" applyFill="1" applyFont="1">
      <alignment shrinkToFit="0" wrapText="1"/>
    </xf>
    <xf borderId="0" fillId="11" fontId="5" numFmtId="0" xfId="0" applyFill="1" applyFont="1"/>
    <xf borderId="0" fillId="19" fontId="5" numFmtId="0" xfId="0" applyFill="1" applyFont="1"/>
    <xf borderId="1" fillId="4" fontId="1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shrinkToFit="0" wrapText="1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6" fontId="8" numFmtId="0" xfId="0" applyAlignment="1" applyFill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10" fontId="8" numFmtId="0" xfId="0" applyAlignment="1" applyFill="1" applyFont="1">
      <alignment readingOrder="0" shrinkToFit="0" wrapText="1"/>
    </xf>
    <xf borderId="0" fillId="4" fontId="8" numFmtId="0" xfId="0" applyAlignment="1" applyFill="1" applyFont="1">
      <alignment readingOrder="0" shrinkToFit="0" wrapText="1"/>
    </xf>
    <xf borderId="0" fillId="3" fontId="8" numFmtId="0" xfId="0" applyAlignment="1" applyFill="1" applyFont="1">
      <alignment readingOrder="0" shrinkToFit="0" wrapText="1"/>
    </xf>
    <xf borderId="0" fillId="18" fontId="8" numFmtId="0" xfId="0" applyAlignment="1" applyFill="1" applyFont="1">
      <alignment readingOrder="0" shrinkToFit="0" wrapText="1"/>
    </xf>
    <xf borderId="0" fillId="9" fontId="8" numFmtId="0" xfId="0" applyAlignment="1" applyFill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8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8" fontId="1" numFmtId="0" xfId="0" applyFill="1" applyFont="1"/>
    <xf borderId="0" fillId="10" fontId="1" numFmtId="0" xfId="0" applyAlignment="1" applyFill="1" applyFont="1">
      <alignment shrinkToFit="0" wrapText="1"/>
    </xf>
    <xf borderId="0" fillId="1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shrinkToFit="0" wrapText="1"/>
    </xf>
    <xf borderId="0" fillId="6" fontId="1" numFmtId="0" xfId="0" applyAlignment="1" applyFill="1" applyFont="1">
      <alignment shrinkToFit="0" wrapText="1"/>
    </xf>
    <xf borderId="0" fillId="18" fontId="1" numFmtId="0" xfId="0" applyAlignment="1" applyFill="1" applyFont="1">
      <alignment shrinkToFit="0" wrapText="1"/>
    </xf>
    <xf borderId="0" fillId="9" fontId="1" numFmtId="0" xfId="0" applyFill="1" applyFont="1"/>
    <xf borderId="0" fillId="6" fontId="9" numFmtId="0" xfId="0" applyAlignment="1" applyFill="1" applyFont="1">
      <alignment readingOrder="0"/>
    </xf>
    <xf borderId="0" fillId="8" fontId="9" numFmtId="0" xfId="0" applyAlignment="1" applyFill="1" applyFont="1">
      <alignment readingOrder="0"/>
    </xf>
    <xf borderId="0" fillId="10" fontId="9" numFmtId="0" xfId="0" applyAlignment="1" applyFill="1" applyFont="1">
      <alignment readingOrder="0"/>
    </xf>
    <xf borderId="0" fillId="4" fontId="9" numFmtId="0" xfId="0" applyAlignment="1" applyFill="1" applyFont="1">
      <alignment readingOrder="0"/>
    </xf>
    <xf borderId="0" fillId="3" fontId="9" numFmtId="0" xfId="0" applyAlignment="1" applyFill="1" applyFont="1">
      <alignment readingOrder="0"/>
    </xf>
    <xf borderId="0" fillId="18" fontId="9" numFmtId="0" xfId="0" applyAlignment="1" applyFill="1" applyFont="1">
      <alignment readingOrder="0"/>
    </xf>
    <xf borderId="0" fillId="9" fontId="9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6" fontId="1" numFmtId="0" xfId="0" applyAlignment="1" applyFill="1" applyFont="1">
      <alignment readingOrder="0" shrinkToFit="0" wrapText="1"/>
    </xf>
    <xf borderId="0" fillId="6" fontId="4" numFmtId="0" xfId="0" applyAlignment="1" applyFill="1" applyFont="1">
      <alignment readingOrder="0" shrinkToFit="0" wrapText="1"/>
    </xf>
    <xf borderId="0" fillId="6" fontId="7" numFmtId="0" xfId="0" applyAlignment="1" applyFill="1" applyFont="1">
      <alignment readingOrder="0" shrinkToFit="0" wrapText="1"/>
    </xf>
    <xf borderId="0" fillId="9" fontId="4" numFmtId="0" xfId="0" applyAlignment="1" applyFill="1" applyFont="1">
      <alignment readingOrder="0" shrinkToFit="0" wrapText="1"/>
    </xf>
    <xf borderId="0" fillId="9" fontId="7" numFmtId="0" xfId="0" applyAlignment="1" applyFill="1" applyFont="1">
      <alignment readingOrder="0" shrinkToFit="0" wrapText="1"/>
    </xf>
    <xf borderId="0" fillId="5" fontId="4" numFmtId="0" xfId="0" applyAlignment="1" applyFill="1" applyFont="1">
      <alignment readingOrder="0" shrinkToFit="0" wrapText="1"/>
    </xf>
    <xf borderId="0" fillId="5" fontId="7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wrapText="1"/>
    </xf>
    <xf borderId="0" fillId="8" fontId="1" numFmtId="0" xfId="0" applyAlignment="1" applyFill="1" applyFont="1">
      <alignment readingOrder="0" shrinkToFit="0" wrapText="1"/>
    </xf>
    <xf borderId="0" fillId="11" fontId="1" numFmtId="0" xfId="0" applyAlignment="1" applyFill="1" applyFont="1">
      <alignment readingOrder="0" shrinkToFit="0" wrapText="1"/>
    </xf>
    <xf borderId="0" fillId="6" fontId="1" numFmtId="0" xfId="0" applyFill="1" applyFont="1"/>
    <xf borderId="0" fillId="0" fontId="8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2" pivot="0" name="По ценностям адекват-style">
      <tableStyleElement dxfId="1" type="firstRowStripe"/>
      <tableStyleElement dxfId="3" type="secondRowStripe"/>
    </tableStyle>
    <tableStyle count="4" pivot="0" name="По благам дополнительно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По художественной ценности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2" pivot="0" name="Лист9-style">
      <tableStyleElement dxfId="1" type="firstRowStripe"/>
      <tableStyleElement dxfId="3" type="secondRowStripe"/>
    </tableStyle>
    <tableStyle count="2" pivot="0" name="Лист9-style 2">
      <tableStyleElement dxfId="1" type="firstRowStripe"/>
      <tableStyleElement dxfId="3" type="secondRowStripe"/>
    </tableStyle>
    <tableStyle count="4" pivot="0" name="Показатели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Экспертиза-style">
      <tableStyleElement dxfId="2" type="headerRow"/>
      <tableStyleElement dxfId="1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0" displayName="Таблица2" name="Таблица2" id="3">
  <tableColumns count="5">
    <tableColumn name="Результат" id="1"/>
    <tableColumn name="Подвид" id="2"/>
    <tableColumn name="Ценности" id="3"/>
    <tableColumn name="Показатель 1" id="4"/>
    <tableColumn name="Показатель 2 (опционально)" id="5"/>
  </tableColumns>
  <tableStyleInfo name="По художественной ценности-style" showColumnStripes="0" showFirstColumn="1" showLastColumn="1" showRowStripes="1"/>
</table>
</file>

<file path=xl/tables/table2.xml><?xml version="1.0" encoding="utf-8"?>
<table xmlns="http://schemas.openxmlformats.org/spreadsheetml/2006/main" ref="A1:F50" displayName="Таблица2_2" name="Таблица2_2" id="2">
  <tableColumns count="6">
    <tableColumn name="Результат" id="1"/>
    <tableColumn name="Вид блага" id="2"/>
    <tableColumn name="Инструментальные /Внутренние" id="3"/>
    <tableColumn name="Ценности" id="4"/>
    <tableColumn name="Показатель 1" id="5"/>
    <tableColumn name="Показатель 2 (опционально)" id="6"/>
  </tableColumns>
  <tableStyleInfo name="По благам дополнительно-style" showColumnStripes="0" showFirstColumn="1" showLastColumn="1" showRowStripes="1"/>
</table>
</file>

<file path=xl/tables/table3.xml><?xml version="1.0" encoding="utf-8"?>
<table xmlns="http://schemas.openxmlformats.org/spreadsheetml/2006/main" headerRowCount="0" ref="D4:F5" displayName="Table_1" name="Table_1" id="1">
  <tableColumns count="3">
    <tableColumn name="Column1" id="1"/>
    <tableColumn name="Column2" id="2"/>
    <tableColumn name="Column3" id="3"/>
  </tableColumns>
  <tableStyleInfo name="По ценностям адекват-style" showColumnStripes="0" showFirstColumn="1" showLastColumn="1" showRowStripes="1"/>
</table>
</file>

<file path=xl/tables/table4.xml><?xml version="1.0" encoding="utf-8"?>
<table xmlns="http://schemas.openxmlformats.org/spreadsheetml/2006/main" headerRowCount="0" ref="B64:B89" displayName="Table_2" name="Table_2" id="4">
  <tableColumns count="1">
    <tableColumn name="Column1" id="1"/>
  </tableColumns>
  <tableStyleInfo name="Лист9-style" showColumnStripes="0" showFirstColumn="1" showLastColumn="1" showRowStripes="1"/>
</table>
</file>

<file path=xl/tables/table5.xml><?xml version="1.0" encoding="utf-8"?>
<table xmlns="http://schemas.openxmlformats.org/spreadsheetml/2006/main" headerRowCount="0" ref="A97:A145" displayName="Table_3" name="Table_3" id="5">
  <tableColumns count="1">
    <tableColumn name="Column1" id="1"/>
  </tableColumns>
  <tableStyleInfo name="Лист9-style 2" showColumnStripes="0" showFirstColumn="1" showLastColumn="1" showRowStripes="1"/>
</table>
</file>

<file path=xl/tables/table6.xml><?xml version="1.0" encoding="utf-8"?>
<table xmlns="http://schemas.openxmlformats.org/spreadsheetml/2006/main" ref="A1:D156" displayName="Таблица1" name="Таблица1" id="6">
  <autoFilter ref="$A$1:$D$156"/>
  <tableColumns count="4">
    <tableColumn name="Результат" id="1"/>
    <tableColumn name="Ценности" id="2"/>
    <tableColumn name="Показатель 2" id="3"/>
    <tableColumn name="Показатель 3" id="4"/>
  </tableColumns>
  <tableStyleInfo name="Показатели-style" showColumnStripes="0" showFirstColumn="1" showLastColumn="1" showRowStripes="1"/>
</table>
</file>

<file path=xl/tables/table7.xml><?xml version="1.0" encoding="utf-8"?>
<table xmlns="http://schemas.openxmlformats.org/spreadsheetml/2006/main" ref="A1:C1004" displayName="Таблица1_2" name="Таблица1_2" id="7">
  <autoFilter ref="$A$1:$C$1004"/>
  <tableColumns count="3">
    <tableColumn name="Результат" id="1"/>
    <tableColumn name="Отмеченные ценности" id="2"/>
    <tableColumn name="Предложения по изменению" id="3"/>
  </tableColumns>
  <tableStyleInfo name="Экспертиз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hidden="1" min="2" max="2" width="23.63"/>
    <col customWidth="1" hidden="1" min="3" max="3" width="14.63"/>
    <col customWidth="1" min="4" max="4" width="22.13"/>
    <col customWidth="1" hidden="1" min="5" max="5" width="18.13"/>
    <col customWidth="1" hidden="1" min="6" max="6" width="17.13"/>
    <col customWidth="1" min="7" max="7" width="25.38"/>
    <col customWidth="1" hidden="1" min="8" max="8" width="18.38"/>
    <col customWidth="1" hidden="1" min="9" max="9" width="21.25"/>
    <col hidden="1" min="10" max="10" width="12.63"/>
    <col customWidth="1" min="11" max="11" width="22.25"/>
    <col customWidth="1" min="12" max="12" width="26.25"/>
    <col customWidth="1" min="13" max="13" width="21.38"/>
    <col customWidth="1" min="14" max="14" width="18.5"/>
    <col customWidth="1" hidden="1" min="15" max="15" width="24.0"/>
  </cols>
  <sheetData>
    <row r="1">
      <c r="F1" s="1"/>
      <c r="N1" s="1"/>
      <c r="O1" s="1"/>
      <c r="P1" s="1"/>
      <c r="Q1" s="1"/>
    </row>
    <row r="2">
      <c r="A2" s="2" t="s">
        <v>0</v>
      </c>
      <c r="B2" s="3"/>
      <c r="C2" s="3"/>
      <c r="D2" s="2" t="s">
        <v>1</v>
      </c>
      <c r="E2" s="3"/>
      <c r="F2" s="4"/>
      <c r="G2" s="2" t="s">
        <v>2</v>
      </c>
      <c r="H2" s="3"/>
      <c r="I2" s="3"/>
      <c r="J2" s="3"/>
      <c r="K2" s="2" t="s">
        <v>2</v>
      </c>
      <c r="L2" s="5" t="s">
        <v>3</v>
      </c>
      <c r="M2" s="5" t="s">
        <v>4</v>
      </c>
      <c r="N2" s="6"/>
      <c r="O2" s="7"/>
      <c r="P2" s="1"/>
      <c r="Q2" s="1"/>
    </row>
    <row r="3" ht="80.25" customHeight="1">
      <c r="A3" s="2" t="s">
        <v>5</v>
      </c>
      <c r="B3" s="3" t="str">
        <f>IF(IFERROR(SEARCH("благополучателе", A3) &gt; 0, FALSE), "Фокуснаблагополучателе", IF(IFERROR(SEARCH("секторе", A3) &gt; 0, FALSE), "Фокуснасекторе", IF(IFERROR(SEARCH("благах", A3) &gt; 0, FALSE), "Фокуснаблагах", IF(IFERROR(SEARCH("ценностях", A3) &gt; 0, FALSE), "Фокуснаценностях",""))))</f>
        <v>Фокуснасекторе</v>
      </c>
      <c r="C3" s="31" t="str">
        <f t="array" ref="C3:C1002">INDIRECT(B3)</f>
        <v>Экономика</v>
      </c>
      <c r="D3" s="2" t="s">
        <v>36</v>
      </c>
      <c r="E3" s="3" t="str">
        <f>IF(IFERROR(SEARCH("публика", D3) &gt; 0, FALSE), "ФБСообщество", IF(IFERROR(SEARCH("люди", D3) &gt; 0, FALSE), "ФБЛюди", IF(IFERROR(SEARCH("семьи", D3) &gt; 0, FALSE), "ФБСемьи", IF(IFERROR(SEARCH("правительство", D3) &gt; 0, FALSE), "ФББизнес", IF(IFERROR(SEARCH("команда", D3) &gt; 0, FALSE), "ФБКоманда", IF(IFERROR(SEARCH("экономика", D3) &gt; 0, FALSE), "ФСЭкономика", IF(IFERROR(SEARCH("образование", D3) &gt; 0, FALSE), "ФСОбразование",IF(IFERROR(SEARCH("здоровье", D3) &gt; 0, FALSE), "ФСЗдоровье",IF(IFERROR(SEARCH("экология", D3) &gt; 0, FALSE), "ФСЭкология", IF(IFERROR(SEARCH("сфера", D3) &gt; 0, FALSE), "ФССоциальнаясфера", IF(IFERROR(SEARCH("развитие", D3) &gt; 0, FALSE), "ФСМестноеразвитие", IF(IFERROR(SEARCH("среда", D3) &gt; 0, FALSE), "ФСГородскаясреда",IF(IFERROR(SEARCH("культура", D3) &gt; 0, FALSE), "ФСКультура", IF(IFERROR(SEARCH("блага", D3) &gt; 0, FALSE), "ФБлага", IF(IFERROR(SEARCH("достоинство", D3) &gt; 0, FALSE), "ФЦДостоинство", IF(IFERROR(SEARCH("жизнь", D3) &gt; 0, FALSE), "ФЦЖизнь", IF(IFERROR(SEARCH("права", D3) &gt; 0, FALSE), "ФЦПрава", IF(IFERROR(SEARCH("патриотизм", D3) &gt; 0, FALSE), "ФЦПатриотизм", IF(IFERROR(SEARCH("гражданственность", D3) &gt; 0, FALSE), "ФЦГражданственность", IF(IFERROR(SEARCH("идеалы", D3) &gt; 0, FALSE), "ФЦИдеалы", IF(IFERROR(SEARCH("семья", D3) &gt; 0, FALSE), "ФЦСемья", IF(IFERROR(SEARCH("труд", D3) &gt; 0, FALSE), "ФЦТруд", IF(IFERROR(SEARCH("приоритет", D3) &gt; 0, FALSE), "ФЦПриоритет", IF(IFERROR(SEARCH("гуманизм", D3) &gt; 0, FALSE), "ФЦГуманизм", IF(IFERROR(SEARCH("милосердие", D3) &gt; 0, FALSE), "ФЦМилосердие", IF(IFERROR(SEARCH("справедливость", D3) &gt; 0, FALSE), "ФЦСправедливость", IF(IFERROR(SEARCH("коллективизм", D3) &gt; 0, FALSE), "ФЦКоллективизм", IF(IFERROR(SEARCH("взаимопомощь", D3) &gt; 0, FALSE), "ФЦВзаимопомощь", IF(IFERROR(SEARCH("память", D3) &gt; 0, FALSE), "ФЦПамять", IF(IFERROR(SEARCH("единство", D3) &gt; 0, FALSE), "ФЦЕдинство", IF(IFERROR(SEARCH("служение", D3) &gt; 0, FALSE), "ФЦСлужение","")))))))))))))))))))))))))))))))</f>
        <v>ФБСообщество</v>
      </c>
      <c r="F3" s="31" t="str">
        <f t="array" ref="F3:F1003">INDIRECT(E3)</f>
        <v>Сообщество, общественность, широкая публика</v>
      </c>
      <c r="G3" s="4" t="s">
        <v>88</v>
      </c>
      <c r="H3" s="3" t="str">
        <f>IF(D3="Частные блага","Частныеблага", IF(D3="Частные блага с общественным эффектом", "Частныеблагасобщественнымэффектом", IF(D3="Общественные блага", "Общественныеблага","")))</f>
        <v/>
      </c>
      <c r="I3" s="3" t="str">
        <f>H3&amp;G3</f>
        <v>Сохранение наследия</v>
      </c>
      <c r="J3" s="31" t="str">
        <f t="array" ref="J3">INDIRECT(I3)</f>
        <v>#REF!</v>
      </c>
      <c r="K3" s="2"/>
      <c r="L3" s="85" t="str">
        <f>IFERROR(VLOOKUP(IF(ISBLANK(K3), G3, K3), 'Показатели'!A:D, 2, FALSE), "")</f>
        <v>Историческая память и преемственность поколений</v>
      </c>
      <c r="M3" s="86" t="str">
        <f>IFERROR(VLOOKUP(IF(ISBLANK(K3), G3, K3), 'Показатели'!A:D, 3, FALSE), "")</f>
        <v>Количество отреставрированных предметов/документов.</v>
      </c>
      <c r="N3" s="86" t="str">
        <f>IFERROR(VLOOKUP(IF(ISBLANK(K3), G3, K3), 'Показатели'!A:D, 4, FALSE), "")</f>
        <v>Рост индекса осведомленности о наследии (опрос).</v>
      </c>
      <c r="O3" s="31"/>
      <c r="P3" s="1"/>
      <c r="Q3" s="1"/>
    </row>
    <row r="4">
      <c r="C4" s="87" t="s">
        <v>94</v>
      </c>
      <c r="F4" s="1" t="s">
        <v>82</v>
      </c>
      <c r="N4" s="1"/>
      <c r="O4" s="1"/>
      <c r="P4" s="1"/>
      <c r="Q4" s="1"/>
    </row>
    <row r="5">
      <c r="C5" s="87" t="s">
        <v>95</v>
      </c>
      <c r="F5" s="1" t="s">
        <v>88</v>
      </c>
      <c r="N5" s="1"/>
      <c r="O5" s="1"/>
      <c r="P5" s="1"/>
      <c r="Q5" s="1"/>
    </row>
    <row r="6">
      <c r="C6" s="87" t="s">
        <v>97</v>
      </c>
      <c r="F6" s="1" t="s">
        <v>98</v>
      </c>
      <c r="N6" s="1"/>
      <c r="O6" s="1"/>
      <c r="P6" s="1"/>
      <c r="Q6" s="1"/>
    </row>
    <row r="7">
      <c r="A7" s="88"/>
      <c r="C7" s="87" t="s">
        <v>99</v>
      </c>
      <c r="F7" s="1" t="s">
        <v>100</v>
      </c>
      <c r="N7" s="1"/>
      <c r="O7" s="1"/>
      <c r="P7" s="1"/>
      <c r="Q7" s="1"/>
    </row>
    <row r="8">
      <c r="A8" s="88"/>
      <c r="C8" s="87" t="s">
        <v>101</v>
      </c>
      <c r="F8" s="1" t="s">
        <v>96</v>
      </c>
      <c r="N8" s="1"/>
      <c r="O8" s="1"/>
      <c r="P8" s="1"/>
      <c r="Q8" s="1"/>
    </row>
    <row r="9">
      <c r="A9" s="88"/>
      <c r="C9" s="87" t="s">
        <v>102</v>
      </c>
      <c r="F9" s="1" t="s">
        <v>103</v>
      </c>
      <c r="N9" s="1"/>
      <c r="O9" s="1"/>
      <c r="P9" s="1"/>
      <c r="Q9" s="1"/>
    </row>
    <row r="10">
      <c r="A10" s="88"/>
      <c r="C10" s="87" t="s">
        <v>104</v>
      </c>
      <c r="F10" s="1"/>
      <c r="N10" s="1"/>
      <c r="O10" s="1"/>
      <c r="P10" s="1"/>
      <c r="Q10" s="1"/>
    </row>
    <row r="11">
      <c r="A11" s="88"/>
      <c r="C11" s="87"/>
      <c r="F11" s="1"/>
      <c r="N11" s="1"/>
      <c r="O11" s="1"/>
      <c r="P11" s="1"/>
      <c r="Q11" s="1"/>
    </row>
    <row r="12">
      <c r="A12" s="88"/>
      <c r="C12" s="87"/>
      <c r="F12" s="1"/>
      <c r="N12" s="1"/>
      <c r="O12" s="1"/>
      <c r="P12" s="1"/>
      <c r="Q12" s="1"/>
    </row>
    <row r="13">
      <c r="A13" s="88"/>
      <c r="C13" s="87"/>
      <c r="F13" s="1"/>
      <c r="N13" s="1"/>
      <c r="O13" s="1"/>
      <c r="P13" s="1"/>
      <c r="Q13" s="1"/>
    </row>
    <row r="14">
      <c r="A14" s="88"/>
      <c r="C14" s="87"/>
      <c r="F14" s="1"/>
      <c r="N14" s="1"/>
      <c r="O14" s="1"/>
      <c r="P14" s="1"/>
      <c r="Q14" s="1"/>
    </row>
    <row r="15">
      <c r="A15" s="88"/>
      <c r="C15" s="87"/>
      <c r="F15" s="1"/>
      <c r="N15" s="1"/>
      <c r="O15" s="1"/>
      <c r="P15" s="1"/>
      <c r="Q15" s="1"/>
    </row>
    <row r="16">
      <c r="A16" s="88"/>
      <c r="C16" s="87"/>
      <c r="F16" s="1"/>
      <c r="N16" s="1"/>
      <c r="O16" s="1"/>
      <c r="P16" s="1"/>
      <c r="Q16" s="1"/>
    </row>
    <row r="17">
      <c r="A17" s="88"/>
      <c r="C17" s="87"/>
      <c r="F17" s="1"/>
      <c r="N17" s="1"/>
      <c r="O17" s="1"/>
      <c r="P17" s="1"/>
      <c r="Q17" s="1"/>
    </row>
    <row r="18">
      <c r="A18" s="88"/>
      <c r="C18" s="87"/>
      <c r="F18" s="1"/>
      <c r="N18" s="1"/>
      <c r="O18" s="1"/>
      <c r="P18" s="1"/>
      <c r="Q18" s="1"/>
    </row>
    <row r="19">
      <c r="A19" s="88"/>
      <c r="C19" s="87"/>
      <c r="F19" s="1"/>
      <c r="N19" s="1"/>
      <c r="O19" s="1"/>
      <c r="P19" s="1"/>
      <c r="Q19" s="1"/>
    </row>
    <row r="20">
      <c r="A20" s="88"/>
      <c r="C20" s="87"/>
      <c r="F20" s="1"/>
      <c r="N20" s="1"/>
      <c r="O20" s="1"/>
      <c r="P20" s="1"/>
      <c r="Q20" s="1"/>
    </row>
    <row r="21">
      <c r="C21" s="87"/>
      <c r="F21" s="1"/>
      <c r="N21" s="1"/>
      <c r="O21" s="1"/>
      <c r="P21" s="1"/>
      <c r="Q21" s="1"/>
    </row>
    <row r="22">
      <c r="C22" s="87"/>
      <c r="F22" s="1"/>
      <c r="N22" s="1"/>
      <c r="O22" s="1"/>
      <c r="P22" s="1"/>
      <c r="Q22" s="1"/>
    </row>
    <row r="23">
      <c r="C23" s="87"/>
      <c r="F23" s="1"/>
      <c r="N23" s="1"/>
      <c r="O23" s="1"/>
      <c r="P23" s="1"/>
      <c r="Q23" s="1"/>
    </row>
    <row r="24">
      <c r="C24" s="87"/>
      <c r="F24" s="1"/>
      <c r="N24" s="1"/>
      <c r="O24" s="1"/>
      <c r="P24" s="1"/>
      <c r="Q24" s="1"/>
    </row>
    <row r="25">
      <c r="C25" s="87"/>
      <c r="F25" s="1"/>
      <c r="N25" s="1"/>
      <c r="O25" s="1"/>
      <c r="P25" s="1"/>
      <c r="Q25" s="1"/>
    </row>
    <row r="26">
      <c r="C26" s="87"/>
      <c r="F26" s="1"/>
      <c r="N26" s="1"/>
      <c r="O26" s="1"/>
      <c r="P26" s="1"/>
      <c r="Q26" s="1"/>
    </row>
    <row r="27">
      <c r="C27" s="87"/>
      <c r="F27" s="1"/>
      <c r="N27" s="1"/>
      <c r="O27" s="1"/>
      <c r="P27" s="1"/>
      <c r="Q27" s="1"/>
    </row>
    <row r="28">
      <c r="C28" s="87"/>
      <c r="F28" s="1"/>
      <c r="N28" s="1"/>
      <c r="O28" s="1"/>
      <c r="P28" s="1"/>
      <c r="Q28" s="1"/>
    </row>
    <row r="29">
      <c r="C29" s="87"/>
      <c r="F29" s="1"/>
      <c r="N29" s="1"/>
      <c r="O29" s="1"/>
      <c r="P29" s="1"/>
      <c r="Q29" s="1"/>
    </row>
    <row r="30">
      <c r="C30" s="87"/>
      <c r="F30" s="1"/>
      <c r="N30" s="1"/>
      <c r="O30" s="1"/>
      <c r="P30" s="1"/>
      <c r="Q30" s="1"/>
    </row>
    <row r="31">
      <c r="C31" s="87"/>
      <c r="F31" s="1"/>
      <c r="N31" s="1"/>
      <c r="O31" s="1"/>
      <c r="P31" s="1"/>
      <c r="Q31" s="1"/>
    </row>
    <row r="32">
      <c r="C32" s="87"/>
      <c r="F32" s="1"/>
      <c r="N32" s="1"/>
      <c r="O32" s="1"/>
      <c r="P32" s="1"/>
      <c r="Q32" s="1"/>
    </row>
    <row r="33">
      <c r="C33" s="87"/>
      <c r="F33" s="1"/>
      <c r="N33" s="1"/>
      <c r="O33" s="1"/>
      <c r="P33" s="1"/>
      <c r="Q33" s="1"/>
    </row>
    <row r="34">
      <c r="C34" s="87"/>
      <c r="F34" s="1"/>
      <c r="N34" s="1"/>
      <c r="O34" s="1"/>
      <c r="P34" s="1"/>
      <c r="Q34" s="1"/>
    </row>
    <row r="35">
      <c r="C35" s="87"/>
      <c r="F35" s="1"/>
      <c r="N35" s="1"/>
      <c r="O35" s="1"/>
      <c r="P35" s="1"/>
      <c r="Q35" s="1"/>
    </row>
    <row r="36">
      <c r="C36" s="87"/>
      <c r="F36" s="1"/>
      <c r="N36" s="1"/>
      <c r="O36" s="1"/>
      <c r="P36" s="1"/>
      <c r="Q36" s="1"/>
    </row>
    <row r="37">
      <c r="C37" s="87"/>
      <c r="F37" s="1"/>
      <c r="N37" s="1"/>
      <c r="O37" s="1"/>
      <c r="P37" s="1"/>
      <c r="Q37" s="1"/>
    </row>
    <row r="38">
      <c r="C38" s="87"/>
      <c r="F38" s="1"/>
      <c r="N38" s="1"/>
      <c r="O38" s="1"/>
      <c r="P38" s="1"/>
      <c r="Q38" s="1"/>
    </row>
    <row r="39">
      <c r="C39" s="87"/>
      <c r="F39" s="1"/>
      <c r="N39" s="1"/>
      <c r="O39" s="1"/>
      <c r="P39" s="1"/>
      <c r="Q39" s="1"/>
    </row>
    <row r="40">
      <c r="C40" s="87"/>
      <c r="F40" s="1"/>
      <c r="N40" s="1"/>
      <c r="O40" s="1"/>
      <c r="P40" s="1"/>
      <c r="Q40" s="1"/>
    </row>
    <row r="41">
      <c r="C41" s="87"/>
      <c r="F41" s="1"/>
      <c r="N41" s="1"/>
      <c r="O41" s="1"/>
      <c r="P41" s="1"/>
      <c r="Q41" s="1"/>
    </row>
    <row r="42">
      <c r="C42" s="87"/>
      <c r="F42" s="1"/>
      <c r="N42" s="1"/>
      <c r="O42" s="1"/>
      <c r="P42" s="1"/>
      <c r="Q42" s="1"/>
    </row>
    <row r="43">
      <c r="C43" s="87"/>
      <c r="F43" s="1"/>
      <c r="N43" s="1"/>
      <c r="O43" s="1"/>
      <c r="P43" s="1"/>
      <c r="Q43" s="1"/>
    </row>
    <row r="44">
      <c r="C44" s="87"/>
      <c r="F44" s="1"/>
      <c r="N44" s="1"/>
      <c r="O44" s="1"/>
      <c r="P44" s="1"/>
      <c r="Q44" s="1"/>
    </row>
    <row r="45">
      <c r="C45" s="87"/>
      <c r="F45" s="1"/>
      <c r="N45" s="1"/>
      <c r="O45" s="1"/>
      <c r="P45" s="1"/>
      <c r="Q45" s="1"/>
    </row>
    <row r="46">
      <c r="C46" s="87"/>
      <c r="F46" s="1"/>
      <c r="N46" s="1"/>
      <c r="O46" s="1"/>
      <c r="P46" s="1"/>
      <c r="Q46" s="1"/>
    </row>
    <row r="47">
      <c r="C47" s="87"/>
      <c r="F47" s="1"/>
      <c r="N47" s="1"/>
      <c r="O47" s="1"/>
      <c r="P47" s="1"/>
      <c r="Q47" s="1"/>
    </row>
    <row r="48">
      <c r="C48" s="87"/>
      <c r="F48" s="1"/>
      <c r="N48" s="1"/>
      <c r="O48" s="1"/>
      <c r="P48" s="1"/>
      <c r="Q48" s="1"/>
    </row>
    <row r="49">
      <c r="C49" s="87"/>
      <c r="F49" s="1"/>
      <c r="N49" s="1"/>
      <c r="O49" s="1"/>
      <c r="P49" s="1"/>
      <c r="Q49" s="1"/>
    </row>
    <row r="50">
      <c r="C50" s="87"/>
      <c r="F50" s="1"/>
      <c r="N50" s="1"/>
      <c r="O50" s="1"/>
      <c r="P50" s="1"/>
      <c r="Q50" s="1"/>
    </row>
    <row r="51">
      <c r="C51" s="87"/>
      <c r="F51" s="1"/>
      <c r="N51" s="1"/>
      <c r="O51" s="1"/>
      <c r="P51" s="1"/>
      <c r="Q51" s="1"/>
    </row>
    <row r="52">
      <c r="C52" s="87"/>
      <c r="F52" s="1"/>
      <c r="N52" s="1"/>
      <c r="O52" s="1"/>
      <c r="P52" s="1"/>
      <c r="Q52" s="1"/>
    </row>
    <row r="53">
      <c r="C53" s="87"/>
      <c r="F53" s="1"/>
      <c r="N53" s="1"/>
      <c r="O53" s="1"/>
      <c r="P53" s="1"/>
      <c r="Q53" s="1"/>
    </row>
    <row r="54">
      <c r="C54" s="87"/>
      <c r="F54" s="1"/>
      <c r="N54" s="1"/>
      <c r="O54" s="1"/>
      <c r="P54" s="1"/>
      <c r="Q54" s="1"/>
    </row>
    <row r="55">
      <c r="C55" s="87"/>
      <c r="F55" s="1"/>
      <c r="N55" s="1"/>
      <c r="O55" s="1"/>
      <c r="P55" s="1"/>
      <c r="Q55" s="1"/>
    </row>
    <row r="56">
      <c r="C56" s="87"/>
      <c r="F56" s="1"/>
      <c r="N56" s="1"/>
      <c r="O56" s="1"/>
      <c r="P56" s="1"/>
      <c r="Q56" s="1"/>
    </row>
    <row r="57">
      <c r="C57" s="87"/>
      <c r="F57" s="1"/>
      <c r="N57" s="1"/>
      <c r="O57" s="1"/>
      <c r="P57" s="1"/>
      <c r="Q57" s="1"/>
    </row>
    <row r="58">
      <c r="C58" s="87"/>
      <c r="F58" s="1"/>
      <c r="N58" s="1"/>
      <c r="O58" s="1"/>
      <c r="P58" s="1"/>
      <c r="Q58" s="1"/>
    </row>
    <row r="59">
      <c r="C59" s="87"/>
      <c r="F59" s="1"/>
      <c r="N59" s="1"/>
      <c r="O59" s="1"/>
      <c r="P59" s="1"/>
      <c r="Q59" s="1"/>
    </row>
    <row r="60">
      <c r="C60" s="87"/>
      <c r="F60" s="1"/>
      <c r="N60" s="1"/>
      <c r="O60" s="1"/>
      <c r="P60" s="1"/>
      <c r="Q60" s="1"/>
    </row>
    <row r="61">
      <c r="C61" s="87"/>
      <c r="F61" s="1"/>
      <c r="N61" s="1"/>
      <c r="O61" s="1"/>
      <c r="P61" s="1"/>
      <c r="Q61" s="1"/>
    </row>
    <row r="62">
      <c r="C62" s="87"/>
      <c r="F62" s="1"/>
      <c r="N62" s="1"/>
      <c r="O62" s="1"/>
      <c r="P62" s="1"/>
      <c r="Q62" s="1"/>
    </row>
    <row r="63">
      <c r="C63" s="87"/>
      <c r="F63" s="1"/>
      <c r="N63" s="1"/>
      <c r="O63" s="1"/>
      <c r="P63" s="1"/>
      <c r="Q63" s="1"/>
    </row>
    <row r="64">
      <c r="C64" s="87"/>
      <c r="F64" s="1"/>
      <c r="N64" s="1"/>
      <c r="O64" s="1"/>
      <c r="P64" s="1"/>
      <c r="Q64" s="1"/>
    </row>
    <row r="65">
      <c r="C65" s="87"/>
      <c r="F65" s="1"/>
      <c r="N65" s="1"/>
      <c r="O65" s="1"/>
      <c r="P65" s="1"/>
      <c r="Q65" s="1"/>
    </row>
    <row r="66">
      <c r="C66" s="87"/>
      <c r="F66" s="1"/>
      <c r="N66" s="1"/>
      <c r="O66" s="1"/>
      <c r="P66" s="1"/>
      <c r="Q66" s="1"/>
    </row>
    <row r="67">
      <c r="C67" s="87"/>
      <c r="F67" s="1"/>
      <c r="N67" s="1"/>
      <c r="O67" s="1"/>
      <c r="P67" s="1"/>
      <c r="Q67" s="1"/>
    </row>
    <row r="68">
      <c r="C68" s="87"/>
      <c r="F68" s="1"/>
      <c r="N68" s="1"/>
      <c r="O68" s="1"/>
      <c r="P68" s="1"/>
      <c r="Q68" s="1"/>
    </row>
    <row r="69">
      <c r="C69" s="87"/>
      <c r="F69" s="1"/>
      <c r="N69" s="1"/>
      <c r="O69" s="1"/>
      <c r="P69" s="1"/>
      <c r="Q69" s="1"/>
    </row>
    <row r="70">
      <c r="C70" s="87"/>
      <c r="F70" s="1"/>
      <c r="N70" s="1"/>
      <c r="O70" s="1"/>
      <c r="P70" s="1"/>
      <c r="Q70" s="1"/>
    </row>
    <row r="71">
      <c r="C71" s="87"/>
      <c r="F71" s="1"/>
      <c r="N71" s="1"/>
      <c r="O71" s="1"/>
      <c r="P71" s="1"/>
      <c r="Q71" s="1"/>
    </row>
    <row r="72">
      <c r="C72" s="87"/>
      <c r="F72" s="1"/>
      <c r="N72" s="1"/>
      <c r="O72" s="1"/>
      <c r="P72" s="1"/>
      <c r="Q72" s="1"/>
    </row>
    <row r="73">
      <c r="C73" s="87"/>
      <c r="F73" s="1"/>
      <c r="N73" s="1"/>
      <c r="O73" s="1"/>
      <c r="P73" s="1"/>
      <c r="Q73" s="1"/>
    </row>
    <row r="74">
      <c r="C74" s="87"/>
      <c r="F74" s="1"/>
      <c r="N74" s="1"/>
      <c r="O74" s="1"/>
      <c r="P74" s="1"/>
      <c r="Q74" s="1"/>
    </row>
    <row r="75">
      <c r="C75" s="87"/>
      <c r="F75" s="1"/>
      <c r="N75" s="1"/>
      <c r="O75" s="1"/>
      <c r="P75" s="1"/>
      <c r="Q75" s="1"/>
    </row>
    <row r="76">
      <c r="C76" s="87"/>
      <c r="F76" s="1"/>
      <c r="N76" s="1"/>
      <c r="O76" s="1"/>
      <c r="P76" s="1"/>
      <c r="Q76" s="1"/>
    </row>
    <row r="77">
      <c r="C77" s="87"/>
      <c r="F77" s="1"/>
      <c r="N77" s="1"/>
      <c r="O77" s="1"/>
      <c r="P77" s="1"/>
      <c r="Q77" s="1"/>
    </row>
    <row r="78">
      <c r="C78" s="87"/>
      <c r="F78" s="1"/>
      <c r="N78" s="1"/>
      <c r="O78" s="1"/>
      <c r="P78" s="1"/>
      <c r="Q78" s="1"/>
    </row>
    <row r="79">
      <c r="C79" s="87"/>
      <c r="F79" s="1"/>
      <c r="N79" s="1"/>
      <c r="O79" s="1"/>
      <c r="P79" s="1"/>
      <c r="Q79" s="1"/>
    </row>
    <row r="80">
      <c r="C80" s="87"/>
      <c r="F80" s="1"/>
      <c r="N80" s="1"/>
      <c r="O80" s="1"/>
      <c r="P80" s="1"/>
      <c r="Q80" s="1"/>
    </row>
    <row r="81">
      <c r="C81" s="87"/>
      <c r="F81" s="1"/>
      <c r="N81" s="1"/>
      <c r="O81" s="1"/>
      <c r="P81" s="1"/>
      <c r="Q81" s="1"/>
    </row>
    <row r="82">
      <c r="C82" s="87"/>
      <c r="F82" s="1"/>
      <c r="N82" s="1"/>
      <c r="O82" s="1"/>
      <c r="P82" s="1"/>
      <c r="Q82" s="1"/>
    </row>
    <row r="83">
      <c r="C83" s="87"/>
      <c r="F83" s="1"/>
      <c r="N83" s="1"/>
      <c r="O83" s="1"/>
      <c r="P83" s="1"/>
      <c r="Q83" s="1"/>
    </row>
    <row r="84">
      <c r="C84" s="87"/>
      <c r="F84" s="1"/>
      <c r="N84" s="1"/>
      <c r="O84" s="1"/>
      <c r="P84" s="1"/>
      <c r="Q84" s="1"/>
    </row>
    <row r="85">
      <c r="C85" s="87"/>
      <c r="F85" s="1"/>
      <c r="N85" s="1"/>
      <c r="O85" s="1"/>
      <c r="P85" s="1"/>
      <c r="Q85" s="1"/>
    </row>
    <row r="86">
      <c r="C86" s="87"/>
      <c r="F86" s="1"/>
      <c r="N86" s="1"/>
      <c r="O86" s="1"/>
      <c r="P86" s="1"/>
      <c r="Q86" s="1"/>
    </row>
    <row r="87">
      <c r="C87" s="87"/>
      <c r="F87" s="1"/>
      <c r="N87" s="1"/>
      <c r="O87" s="1"/>
      <c r="P87" s="1"/>
      <c r="Q87" s="1"/>
    </row>
    <row r="88">
      <c r="C88" s="87"/>
      <c r="F88" s="1"/>
      <c r="N88" s="1"/>
      <c r="O88" s="1"/>
      <c r="P88" s="1"/>
      <c r="Q88" s="1"/>
    </row>
    <row r="89">
      <c r="C89" s="87"/>
      <c r="F89" s="1"/>
      <c r="N89" s="1"/>
      <c r="O89" s="1"/>
      <c r="P89" s="1"/>
      <c r="Q89" s="1"/>
    </row>
    <row r="90">
      <c r="C90" s="87"/>
      <c r="F90" s="1"/>
      <c r="N90" s="1"/>
      <c r="O90" s="1"/>
      <c r="P90" s="1"/>
      <c r="Q90" s="1"/>
    </row>
    <row r="91">
      <c r="C91" s="87"/>
      <c r="F91" s="1"/>
      <c r="N91" s="1"/>
      <c r="O91" s="1"/>
      <c r="P91" s="1"/>
      <c r="Q91" s="1"/>
    </row>
    <row r="92">
      <c r="C92" s="87"/>
      <c r="F92" s="1"/>
      <c r="N92" s="1"/>
      <c r="O92" s="1"/>
      <c r="P92" s="1"/>
      <c r="Q92" s="1"/>
    </row>
    <row r="93">
      <c r="C93" s="87"/>
      <c r="F93" s="1"/>
      <c r="N93" s="1"/>
      <c r="O93" s="1"/>
      <c r="P93" s="1"/>
      <c r="Q93" s="1"/>
    </row>
    <row r="94">
      <c r="C94" s="87"/>
      <c r="F94" s="1"/>
      <c r="N94" s="1"/>
      <c r="O94" s="1"/>
      <c r="P94" s="1"/>
      <c r="Q94" s="1"/>
    </row>
    <row r="95">
      <c r="C95" s="87"/>
      <c r="F95" s="1"/>
      <c r="N95" s="1"/>
      <c r="O95" s="1"/>
      <c r="P95" s="1"/>
      <c r="Q95" s="1"/>
    </row>
    <row r="96">
      <c r="C96" s="87"/>
      <c r="F96" s="1"/>
      <c r="N96" s="1"/>
      <c r="O96" s="1"/>
      <c r="P96" s="1"/>
      <c r="Q96" s="1"/>
    </row>
    <row r="97">
      <c r="C97" s="87"/>
      <c r="F97" s="1"/>
      <c r="N97" s="1"/>
      <c r="O97" s="1"/>
      <c r="P97" s="1"/>
      <c r="Q97" s="1"/>
    </row>
    <row r="98">
      <c r="C98" s="87"/>
      <c r="F98" s="1"/>
      <c r="N98" s="1"/>
      <c r="O98" s="1"/>
      <c r="P98" s="1"/>
      <c r="Q98" s="1"/>
    </row>
    <row r="99">
      <c r="C99" s="87"/>
      <c r="F99" s="1"/>
      <c r="N99" s="1"/>
      <c r="O99" s="1"/>
      <c r="P99" s="1"/>
      <c r="Q99" s="1"/>
    </row>
    <row r="100">
      <c r="C100" s="87"/>
      <c r="F100" s="1"/>
      <c r="N100" s="1"/>
      <c r="O100" s="1"/>
      <c r="P100" s="1"/>
      <c r="Q100" s="1"/>
    </row>
    <row r="101">
      <c r="C101" s="87"/>
      <c r="F101" s="1"/>
      <c r="N101" s="1"/>
      <c r="O101" s="1"/>
      <c r="P101" s="1"/>
      <c r="Q101" s="1"/>
    </row>
    <row r="102">
      <c r="C102" s="87"/>
      <c r="F102" s="1"/>
      <c r="N102" s="1"/>
      <c r="O102" s="1"/>
      <c r="P102" s="1"/>
      <c r="Q102" s="1"/>
    </row>
    <row r="103">
      <c r="C103" s="87"/>
      <c r="F103" s="1"/>
      <c r="N103" s="1"/>
      <c r="O103" s="1"/>
      <c r="P103" s="1"/>
      <c r="Q103" s="1"/>
    </row>
    <row r="104">
      <c r="C104" s="87"/>
      <c r="F104" s="1"/>
      <c r="N104" s="1"/>
      <c r="O104" s="1"/>
      <c r="P104" s="1"/>
      <c r="Q104" s="1"/>
    </row>
    <row r="105">
      <c r="C105" s="87"/>
      <c r="F105" s="1"/>
      <c r="N105" s="1"/>
      <c r="O105" s="1"/>
      <c r="P105" s="1"/>
      <c r="Q105" s="1"/>
    </row>
    <row r="106">
      <c r="C106" s="87"/>
      <c r="F106" s="1"/>
      <c r="N106" s="1"/>
      <c r="O106" s="1"/>
      <c r="P106" s="1"/>
      <c r="Q106" s="1"/>
    </row>
    <row r="107">
      <c r="C107" s="87"/>
      <c r="F107" s="1"/>
      <c r="N107" s="1"/>
      <c r="O107" s="1"/>
      <c r="P107" s="1"/>
      <c r="Q107" s="1"/>
    </row>
    <row r="108">
      <c r="C108" s="87"/>
      <c r="F108" s="1"/>
      <c r="N108" s="1"/>
      <c r="O108" s="1"/>
      <c r="P108" s="1"/>
      <c r="Q108" s="1"/>
    </row>
    <row r="109">
      <c r="C109" s="87"/>
      <c r="F109" s="1"/>
      <c r="N109" s="1"/>
      <c r="O109" s="1"/>
      <c r="P109" s="1"/>
      <c r="Q109" s="1"/>
    </row>
    <row r="110">
      <c r="C110" s="87"/>
      <c r="F110" s="1"/>
      <c r="N110" s="1"/>
      <c r="O110" s="1"/>
      <c r="P110" s="1"/>
      <c r="Q110" s="1"/>
    </row>
    <row r="111">
      <c r="C111" s="87"/>
      <c r="F111" s="1"/>
      <c r="N111" s="1"/>
      <c r="O111" s="1"/>
      <c r="P111" s="1"/>
      <c r="Q111" s="1"/>
    </row>
    <row r="112">
      <c r="C112" s="87"/>
      <c r="F112" s="1"/>
      <c r="N112" s="1"/>
      <c r="O112" s="1"/>
      <c r="P112" s="1"/>
      <c r="Q112" s="1"/>
    </row>
    <row r="113">
      <c r="C113" s="87"/>
      <c r="F113" s="1"/>
      <c r="N113" s="1"/>
      <c r="O113" s="1"/>
      <c r="P113" s="1"/>
      <c r="Q113" s="1"/>
    </row>
    <row r="114">
      <c r="C114" s="87"/>
      <c r="F114" s="1"/>
      <c r="N114" s="1"/>
      <c r="O114" s="1"/>
      <c r="P114" s="1"/>
      <c r="Q114" s="1"/>
    </row>
    <row r="115">
      <c r="C115" s="87"/>
      <c r="F115" s="1"/>
      <c r="N115" s="1"/>
      <c r="O115" s="1"/>
      <c r="P115" s="1"/>
      <c r="Q115" s="1"/>
    </row>
    <row r="116">
      <c r="C116" s="87"/>
      <c r="F116" s="1"/>
      <c r="N116" s="1"/>
      <c r="O116" s="1"/>
      <c r="P116" s="1"/>
      <c r="Q116" s="1"/>
    </row>
    <row r="117">
      <c r="C117" s="87"/>
      <c r="F117" s="1"/>
      <c r="N117" s="1"/>
      <c r="O117" s="1"/>
      <c r="P117" s="1"/>
      <c r="Q117" s="1"/>
    </row>
    <row r="118">
      <c r="C118" s="87"/>
      <c r="F118" s="1"/>
      <c r="N118" s="1"/>
      <c r="O118" s="1"/>
      <c r="P118" s="1"/>
      <c r="Q118" s="1"/>
    </row>
    <row r="119">
      <c r="C119" s="87"/>
      <c r="F119" s="1"/>
      <c r="N119" s="1"/>
      <c r="O119" s="1"/>
      <c r="P119" s="1"/>
      <c r="Q119" s="1"/>
    </row>
    <row r="120">
      <c r="C120" s="87"/>
      <c r="F120" s="1"/>
      <c r="N120" s="1"/>
      <c r="O120" s="1"/>
      <c r="P120" s="1"/>
      <c r="Q120" s="1"/>
    </row>
    <row r="121">
      <c r="C121" s="87"/>
      <c r="F121" s="1"/>
      <c r="N121" s="1"/>
      <c r="O121" s="1"/>
      <c r="P121" s="1"/>
      <c r="Q121" s="1"/>
    </row>
    <row r="122">
      <c r="C122" s="87"/>
      <c r="F122" s="1"/>
      <c r="N122" s="1"/>
      <c r="O122" s="1"/>
      <c r="P122" s="1"/>
      <c r="Q122" s="1"/>
    </row>
    <row r="123">
      <c r="C123" s="87"/>
      <c r="F123" s="1"/>
      <c r="N123" s="1"/>
      <c r="O123" s="1"/>
      <c r="P123" s="1"/>
      <c r="Q123" s="1"/>
    </row>
    <row r="124">
      <c r="C124" s="87"/>
      <c r="F124" s="1"/>
      <c r="N124" s="1"/>
      <c r="O124" s="1"/>
      <c r="P124" s="1"/>
      <c r="Q124" s="1"/>
    </row>
    <row r="125">
      <c r="C125" s="87"/>
      <c r="F125" s="1"/>
      <c r="N125" s="1"/>
      <c r="O125" s="1"/>
      <c r="P125" s="1"/>
      <c r="Q125" s="1"/>
    </row>
    <row r="126">
      <c r="C126" s="87"/>
      <c r="F126" s="1"/>
      <c r="N126" s="1"/>
      <c r="O126" s="1"/>
      <c r="P126" s="1"/>
      <c r="Q126" s="1"/>
    </row>
    <row r="127">
      <c r="C127" s="87"/>
      <c r="F127" s="1"/>
      <c r="N127" s="1"/>
      <c r="O127" s="1"/>
      <c r="P127" s="1"/>
      <c r="Q127" s="1"/>
    </row>
    <row r="128">
      <c r="C128" s="87"/>
      <c r="F128" s="1"/>
      <c r="N128" s="1"/>
      <c r="O128" s="1"/>
      <c r="P128" s="1"/>
      <c r="Q128" s="1"/>
    </row>
    <row r="129">
      <c r="C129" s="87"/>
      <c r="F129" s="1"/>
      <c r="N129" s="1"/>
      <c r="O129" s="1"/>
      <c r="P129" s="1"/>
      <c r="Q129" s="1"/>
    </row>
    <row r="130">
      <c r="C130" s="87"/>
      <c r="F130" s="1"/>
      <c r="N130" s="1"/>
      <c r="O130" s="1"/>
      <c r="P130" s="1"/>
      <c r="Q130" s="1"/>
    </row>
    <row r="131">
      <c r="C131" s="87"/>
      <c r="F131" s="1"/>
      <c r="N131" s="1"/>
      <c r="O131" s="1"/>
      <c r="P131" s="1"/>
      <c r="Q131" s="1"/>
    </row>
    <row r="132">
      <c r="C132" s="87"/>
      <c r="F132" s="1"/>
      <c r="N132" s="1"/>
      <c r="O132" s="1"/>
      <c r="P132" s="1"/>
      <c r="Q132" s="1"/>
    </row>
    <row r="133">
      <c r="C133" s="87"/>
      <c r="F133" s="1"/>
      <c r="N133" s="1"/>
      <c r="O133" s="1"/>
      <c r="P133" s="1"/>
      <c r="Q133" s="1"/>
    </row>
    <row r="134">
      <c r="C134" s="87"/>
      <c r="F134" s="1"/>
      <c r="N134" s="1"/>
      <c r="O134" s="1"/>
      <c r="P134" s="1"/>
      <c r="Q134" s="1"/>
    </row>
    <row r="135">
      <c r="C135" s="87"/>
      <c r="F135" s="1"/>
      <c r="N135" s="1"/>
      <c r="O135" s="1"/>
      <c r="P135" s="1"/>
      <c r="Q135" s="1"/>
    </row>
    <row r="136">
      <c r="C136" s="87"/>
      <c r="F136" s="1"/>
      <c r="N136" s="1"/>
      <c r="O136" s="1"/>
      <c r="P136" s="1"/>
      <c r="Q136" s="1"/>
    </row>
    <row r="137">
      <c r="C137" s="87"/>
      <c r="F137" s="1"/>
      <c r="N137" s="1"/>
      <c r="O137" s="1"/>
      <c r="P137" s="1"/>
      <c r="Q137" s="1"/>
    </row>
    <row r="138">
      <c r="C138" s="87"/>
      <c r="F138" s="1"/>
      <c r="N138" s="1"/>
      <c r="O138" s="1"/>
      <c r="P138" s="1"/>
      <c r="Q138" s="1"/>
    </row>
    <row r="139">
      <c r="C139" s="87"/>
      <c r="F139" s="1"/>
      <c r="N139" s="1"/>
      <c r="O139" s="1"/>
      <c r="P139" s="1"/>
      <c r="Q139" s="1"/>
    </row>
    <row r="140">
      <c r="C140" s="87"/>
      <c r="F140" s="1"/>
      <c r="N140" s="1"/>
      <c r="O140" s="1"/>
      <c r="P140" s="1"/>
      <c r="Q140" s="1"/>
    </row>
    <row r="141">
      <c r="C141" s="87"/>
      <c r="F141" s="1"/>
      <c r="N141" s="1"/>
      <c r="O141" s="1"/>
      <c r="P141" s="1"/>
      <c r="Q141" s="1"/>
    </row>
    <row r="142">
      <c r="C142" s="87"/>
      <c r="F142" s="1"/>
      <c r="N142" s="1"/>
      <c r="O142" s="1"/>
      <c r="P142" s="1"/>
      <c r="Q142" s="1"/>
    </row>
    <row r="143">
      <c r="C143" s="87"/>
      <c r="F143" s="1"/>
      <c r="N143" s="1"/>
      <c r="O143" s="1"/>
      <c r="P143" s="1"/>
      <c r="Q143" s="1"/>
    </row>
    <row r="144">
      <c r="C144" s="87"/>
      <c r="F144" s="1"/>
      <c r="N144" s="1"/>
      <c r="O144" s="1"/>
      <c r="P144" s="1"/>
      <c r="Q144" s="1"/>
    </row>
    <row r="145">
      <c r="C145" s="87"/>
      <c r="F145" s="1"/>
      <c r="N145" s="1"/>
      <c r="O145" s="1"/>
      <c r="P145" s="1"/>
      <c r="Q145" s="1"/>
    </row>
    <row r="146">
      <c r="C146" s="87"/>
      <c r="F146" s="1"/>
      <c r="N146" s="1"/>
      <c r="O146" s="1"/>
      <c r="P146" s="1"/>
      <c r="Q146" s="1"/>
    </row>
    <row r="147">
      <c r="C147" s="87"/>
      <c r="F147" s="1"/>
      <c r="N147" s="1"/>
      <c r="O147" s="1"/>
      <c r="P147" s="1"/>
      <c r="Q147" s="1"/>
    </row>
    <row r="148">
      <c r="C148" s="87"/>
      <c r="F148" s="1"/>
      <c r="N148" s="1"/>
      <c r="O148" s="1"/>
      <c r="P148" s="1"/>
      <c r="Q148" s="1"/>
    </row>
    <row r="149">
      <c r="C149" s="87"/>
      <c r="F149" s="1"/>
      <c r="N149" s="1"/>
      <c r="O149" s="1"/>
      <c r="P149" s="1"/>
      <c r="Q149" s="1"/>
    </row>
    <row r="150">
      <c r="C150" s="87"/>
      <c r="F150" s="1"/>
      <c r="N150" s="1"/>
      <c r="O150" s="1"/>
      <c r="P150" s="1"/>
      <c r="Q150" s="1"/>
    </row>
    <row r="151">
      <c r="C151" s="87"/>
      <c r="F151" s="1"/>
      <c r="N151" s="1"/>
      <c r="O151" s="1"/>
      <c r="P151" s="1"/>
      <c r="Q151" s="1"/>
    </row>
    <row r="152">
      <c r="C152" s="87"/>
      <c r="F152" s="1"/>
      <c r="N152" s="1"/>
      <c r="O152" s="1"/>
      <c r="P152" s="1"/>
      <c r="Q152" s="1"/>
    </row>
    <row r="153">
      <c r="C153" s="87"/>
      <c r="F153" s="1"/>
      <c r="N153" s="1"/>
      <c r="O153" s="1"/>
      <c r="P153" s="1"/>
      <c r="Q153" s="1"/>
    </row>
    <row r="154">
      <c r="C154" s="87"/>
      <c r="F154" s="1"/>
      <c r="N154" s="1"/>
      <c r="O154" s="1"/>
      <c r="P154" s="1"/>
      <c r="Q154" s="1"/>
    </row>
    <row r="155">
      <c r="C155" s="87"/>
      <c r="F155" s="1"/>
      <c r="N155" s="1"/>
      <c r="O155" s="1"/>
      <c r="P155" s="1"/>
      <c r="Q155" s="1"/>
    </row>
    <row r="156">
      <c r="C156" s="87"/>
      <c r="F156" s="1"/>
      <c r="N156" s="1"/>
      <c r="O156" s="1"/>
      <c r="P156" s="1"/>
      <c r="Q156" s="1"/>
    </row>
    <row r="157">
      <c r="C157" s="87"/>
      <c r="F157" s="1"/>
      <c r="N157" s="1"/>
      <c r="O157" s="1"/>
      <c r="P157" s="1"/>
      <c r="Q157" s="1"/>
    </row>
    <row r="158">
      <c r="C158" s="87"/>
      <c r="F158" s="1"/>
      <c r="N158" s="1"/>
      <c r="O158" s="1"/>
      <c r="P158" s="1"/>
      <c r="Q158" s="1"/>
    </row>
    <row r="159">
      <c r="C159" s="87"/>
      <c r="F159" s="1"/>
      <c r="N159" s="1"/>
      <c r="O159" s="1"/>
      <c r="P159" s="1"/>
      <c r="Q159" s="1"/>
    </row>
    <row r="160">
      <c r="C160" s="87"/>
      <c r="F160" s="1"/>
      <c r="N160" s="1"/>
      <c r="O160" s="1"/>
      <c r="P160" s="1"/>
      <c r="Q160" s="1"/>
    </row>
    <row r="161">
      <c r="C161" s="87"/>
      <c r="F161" s="1"/>
      <c r="N161" s="1"/>
      <c r="O161" s="1"/>
      <c r="P161" s="1"/>
      <c r="Q161" s="1"/>
    </row>
    <row r="162">
      <c r="C162" s="87"/>
      <c r="F162" s="1"/>
      <c r="N162" s="1"/>
      <c r="O162" s="1"/>
      <c r="P162" s="1"/>
      <c r="Q162" s="1"/>
    </row>
    <row r="163">
      <c r="C163" s="87"/>
      <c r="F163" s="1"/>
      <c r="N163" s="1"/>
      <c r="O163" s="1"/>
      <c r="P163" s="1"/>
      <c r="Q163" s="1"/>
    </row>
    <row r="164">
      <c r="C164" s="87"/>
      <c r="F164" s="1"/>
      <c r="N164" s="1"/>
      <c r="O164" s="1"/>
      <c r="P164" s="1"/>
      <c r="Q164" s="1"/>
    </row>
    <row r="165">
      <c r="C165" s="87"/>
      <c r="F165" s="1"/>
      <c r="N165" s="1"/>
      <c r="O165" s="1"/>
      <c r="P165" s="1"/>
      <c r="Q165" s="1"/>
    </row>
    <row r="166">
      <c r="C166" s="87"/>
      <c r="F166" s="1"/>
      <c r="N166" s="1"/>
      <c r="O166" s="1"/>
      <c r="P166" s="1"/>
      <c r="Q166" s="1"/>
    </row>
    <row r="167">
      <c r="C167" s="87"/>
      <c r="F167" s="1"/>
      <c r="N167" s="1"/>
      <c r="O167" s="1"/>
      <c r="P167" s="1"/>
      <c r="Q167" s="1"/>
    </row>
    <row r="168">
      <c r="C168" s="87"/>
      <c r="F168" s="1"/>
      <c r="N168" s="1"/>
      <c r="O168" s="1"/>
      <c r="P168" s="1"/>
      <c r="Q168" s="1"/>
    </row>
    <row r="169">
      <c r="C169" s="87"/>
      <c r="F169" s="1"/>
      <c r="N169" s="1"/>
      <c r="O169" s="1"/>
      <c r="P169" s="1"/>
      <c r="Q169" s="1"/>
    </row>
    <row r="170">
      <c r="C170" s="87"/>
      <c r="F170" s="1"/>
      <c r="N170" s="1"/>
      <c r="O170" s="1"/>
      <c r="P170" s="1"/>
      <c r="Q170" s="1"/>
    </row>
    <row r="171">
      <c r="C171" s="87"/>
      <c r="F171" s="1"/>
      <c r="N171" s="1"/>
      <c r="O171" s="1"/>
      <c r="P171" s="1"/>
      <c r="Q171" s="1"/>
    </row>
    <row r="172">
      <c r="C172" s="87"/>
      <c r="F172" s="1"/>
      <c r="N172" s="1"/>
      <c r="O172" s="1"/>
      <c r="P172" s="1"/>
      <c r="Q172" s="1"/>
    </row>
    <row r="173">
      <c r="C173" s="87"/>
      <c r="F173" s="1"/>
      <c r="N173" s="1"/>
      <c r="O173" s="1"/>
      <c r="P173" s="1"/>
      <c r="Q173" s="1"/>
    </row>
    <row r="174">
      <c r="C174" s="87"/>
      <c r="F174" s="1"/>
      <c r="N174" s="1"/>
      <c r="O174" s="1"/>
      <c r="P174" s="1"/>
      <c r="Q174" s="1"/>
    </row>
    <row r="175">
      <c r="C175" s="87"/>
      <c r="F175" s="1"/>
      <c r="N175" s="1"/>
      <c r="O175" s="1"/>
      <c r="P175" s="1"/>
      <c r="Q175" s="1"/>
    </row>
    <row r="176">
      <c r="C176" s="87"/>
      <c r="F176" s="1"/>
      <c r="N176" s="1"/>
      <c r="O176" s="1"/>
      <c r="P176" s="1"/>
      <c r="Q176" s="1"/>
    </row>
    <row r="177">
      <c r="C177" s="87"/>
      <c r="F177" s="1"/>
      <c r="N177" s="1"/>
      <c r="O177" s="1"/>
      <c r="P177" s="1"/>
      <c r="Q177" s="1"/>
    </row>
    <row r="178">
      <c r="C178" s="87"/>
      <c r="F178" s="1"/>
      <c r="N178" s="1"/>
      <c r="O178" s="1"/>
      <c r="P178" s="1"/>
      <c r="Q178" s="1"/>
    </row>
    <row r="179">
      <c r="C179" s="87"/>
      <c r="F179" s="1"/>
      <c r="N179" s="1"/>
      <c r="O179" s="1"/>
      <c r="P179" s="1"/>
      <c r="Q179" s="1"/>
    </row>
    <row r="180">
      <c r="C180" s="87"/>
      <c r="F180" s="1"/>
      <c r="N180" s="1"/>
      <c r="O180" s="1"/>
      <c r="P180" s="1"/>
      <c r="Q180" s="1"/>
    </row>
    <row r="181">
      <c r="C181" s="87"/>
      <c r="F181" s="1"/>
      <c r="N181" s="1"/>
      <c r="O181" s="1"/>
      <c r="P181" s="1"/>
      <c r="Q181" s="1"/>
    </row>
    <row r="182">
      <c r="C182" s="87"/>
      <c r="F182" s="1"/>
      <c r="N182" s="1"/>
      <c r="O182" s="1"/>
      <c r="P182" s="1"/>
      <c r="Q182" s="1"/>
    </row>
    <row r="183">
      <c r="C183" s="87"/>
      <c r="F183" s="1"/>
      <c r="N183" s="1"/>
      <c r="O183" s="1"/>
      <c r="P183" s="1"/>
      <c r="Q183" s="1"/>
    </row>
    <row r="184">
      <c r="C184" s="87"/>
      <c r="F184" s="1"/>
      <c r="N184" s="1"/>
      <c r="O184" s="1"/>
      <c r="P184" s="1"/>
      <c r="Q184" s="1"/>
    </row>
    <row r="185">
      <c r="C185" s="87"/>
      <c r="F185" s="1"/>
      <c r="N185" s="1"/>
      <c r="O185" s="1"/>
      <c r="P185" s="1"/>
      <c r="Q185" s="1"/>
    </row>
    <row r="186">
      <c r="C186" s="87"/>
      <c r="F186" s="1"/>
      <c r="N186" s="1"/>
      <c r="O186" s="1"/>
      <c r="P186" s="1"/>
      <c r="Q186" s="1"/>
    </row>
    <row r="187">
      <c r="C187" s="87"/>
      <c r="F187" s="1"/>
      <c r="N187" s="1"/>
      <c r="O187" s="1"/>
      <c r="P187" s="1"/>
      <c r="Q187" s="1"/>
    </row>
    <row r="188">
      <c r="C188" s="87"/>
      <c r="F188" s="1"/>
      <c r="N188" s="1"/>
      <c r="O188" s="1"/>
      <c r="P188" s="1"/>
      <c r="Q188" s="1"/>
    </row>
    <row r="189">
      <c r="C189" s="87"/>
      <c r="F189" s="1"/>
      <c r="N189" s="1"/>
      <c r="O189" s="1"/>
      <c r="P189" s="1"/>
      <c r="Q189" s="1"/>
    </row>
    <row r="190">
      <c r="C190" s="87"/>
      <c r="F190" s="1"/>
      <c r="N190" s="1"/>
      <c r="O190" s="1"/>
      <c r="P190" s="1"/>
      <c r="Q190" s="1"/>
    </row>
    <row r="191">
      <c r="C191" s="87"/>
      <c r="F191" s="1"/>
      <c r="N191" s="1"/>
      <c r="O191" s="1"/>
      <c r="P191" s="1"/>
      <c r="Q191" s="1"/>
    </row>
    <row r="192">
      <c r="C192" s="87"/>
      <c r="F192" s="1"/>
      <c r="N192" s="1"/>
      <c r="O192" s="1"/>
      <c r="P192" s="1"/>
      <c r="Q192" s="1"/>
    </row>
    <row r="193">
      <c r="C193" s="87"/>
      <c r="F193" s="1"/>
      <c r="N193" s="1"/>
      <c r="O193" s="1"/>
      <c r="P193" s="1"/>
      <c r="Q193" s="1"/>
    </row>
    <row r="194">
      <c r="C194" s="87"/>
      <c r="F194" s="1"/>
      <c r="N194" s="1"/>
      <c r="O194" s="1"/>
      <c r="P194" s="1"/>
      <c r="Q194" s="1"/>
    </row>
    <row r="195">
      <c r="C195" s="87"/>
      <c r="F195" s="1"/>
      <c r="N195" s="1"/>
      <c r="O195" s="1"/>
      <c r="P195" s="1"/>
      <c r="Q195" s="1"/>
    </row>
    <row r="196">
      <c r="C196" s="87"/>
      <c r="F196" s="1"/>
      <c r="N196" s="1"/>
      <c r="O196" s="1"/>
      <c r="P196" s="1"/>
      <c r="Q196" s="1"/>
    </row>
    <row r="197">
      <c r="C197" s="87"/>
      <c r="F197" s="1"/>
      <c r="N197" s="1"/>
      <c r="O197" s="1"/>
      <c r="P197" s="1"/>
      <c r="Q197" s="1"/>
    </row>
    <row r="198">
      <c r="C198" s="87"/>
      <c r="F198" s="1"/>
      <c r="N198" s="1"/>
      <c r="O198" s="1"/>
      <c r="P198" s="1"/>
      <c r="Q198" s="1"/>
    </row>
    <row r="199">
      <c r="C199" s="87"/>
      <c r="F199" s="1"/>
      <c r="N199" s="1"/>
      <c r="O199" s="1"/>
      <c r="P199" s="1"/>
      <c r="Q199" s="1"/>
    </row>
    <row r="200">
      <c r="C200" s="87"/>
      <c r="F200" s="1"/>
      <c r="N200" s="1"/>
      <c r="O200" s="1"/>
      <c r="P200" s="1"/>
      <c r="Q200" s="1"/>
    </row>
    <row r="201">
      <c r="C201" s="87"/>
      <c r="F201" s="1"/>
      <c r="N201" s="1"/>
      <c r="O201" s="1"/>
      <c r="P201" s="1"/>
      <c r="Q201" s="1"/>
    </row>
    <row r="202">
      <c r="C202" s="87"/>
      <c r="F202" s="1"/>
      <c r="N202" s="1"/>
      <c r="O202" s="1"/>
      <c r="P202" s="1"/>
      <c r="Q202" s="1"/>
    </row>
    <row r="203">
      <c r="C203" s="87"/>
      <c r="F203" s="1"/>
      <c r="N203" s="1"/>
      <c r="O203" s="1"/>
      <c r="P203" s="1"/>
      <c r="Q203" s="1"/>
    </row>
    <row r="204">
      <c r="C204" s="87"/>
      <c r="F204" s="1"/>
      <c r="N204" s="1"/>
      <c r="O204" s="1"/>
      <c r="P204" s="1"/>
      <c r="Q204" s="1"/>
    </row>
    <row r="205">
      <c r="C205" s="87"/>
      <c r="F205" s="1"/>
      <c r="N205" s="1"/>
      <c r="O205" s="1"/>
      <c r="P205" s="1"/>
      <c r="Q205" s="1"/>
    </row>
    <row r="206">
      <c r="C206" s="87"/>
      <c r="F206" s="1"/>
      <c r="N206" s="1"/>
      <c r="O206" s="1"/>
      <c r="P206" s="1"/>
      <c r="Q206" s="1"/>
    </row>
    <row r="207">
      <c r="C207" s="87"/>
      <c r="F207" s="1"/>
      <c r="N207" s="1"/>
      <c r="O207" s="1"/>
      <c r="P207" s="1"/>
      <c r="Q207" s="1"/>
    </row>
    <row r="208">
      <c r="C208" s="87"/>
      <c r="F208" s="1"/>
      <c r="N208" s="1"/>
      <c r="O208" s="1"/>
      <c r="P208" s="1"/>
      <c r="Q208" s="1"/>
    </row>
    <row r="209">
      <c r="C209" s="87"/>
      <c r="F209" s="1"/>
      <c r="N209" s="1"/>
      <c r="O209" s="1"/>
      <c r="P209" s="1"/>
      <c r="Q209" s="1"/>
    </row>
    <row r="210">
      <c r="C210" s="87"/>
      <c r="F210" s="1"/>
      <c r="N210" s="1"/>
      <c r="O210" s="1"/>
      <c r="P210" s="1"/>
      <c r="Q210" s="1"/>
    </row>
    <row r="211">
      <c r="C211" s="87"/>
      <c r="F211" s="1"/>
      <c r="N211" s="1"/>
      <c r="O211" s="1"/>
      <c r="P211" s="1"/>
      <c r="Q211" s="1"/>
    </row>
    <row r="212">
      <c r="C212" s="87"/>
      <c r="F212" s="1"/>
      <c r="N212" s="1"/>
      <c r="O212" s="1"/>
      <c r="P212" s="1"/>
      <c r="Q212" s="1"/>
    </row>
    <row r="213">
      <c r="C213" s="87"/>
      <c r="F213" s="1"/>
      <c r="N213" s="1"/>
      <c r="O213" s="1"/>
      <c r="P213" s="1"/>
      <c r="Q213" s="1"/>
    </row>
    <row r="214">
      <c r="C214" s="87"/>
      <c r="F214" s="1"/>
      <c r="N214" s="1"/>
      <c r="O214" s="1"/>
      <c r="P214" s="1"/>
      <c r="Q214" s="1"/>
    </row>
    <row r="215">
      <c r="C215" s="87"/>
      <c r="F215" s="1"/>
      <c r="N215" s="1"/>
      <c r="O215" s="1"/>
      <c r="P215" s="1"/>
      <c r="Q215" s="1"/>
    </row>
    <row r="216">
      <c r="C216" s="87"/>
      <c r="F216" s="1"/>
      <c r="N216" s="1"/>
      <c r="O216" s="1"/>
      <c r="P216" s="1"/>
      <c r="Q216" s="1"/>
    </row>
    <row r="217">
      <c r="C217" s="87"/>
      <c r="F217" s="1"/>
      <c r="N217" s="1"/>
      <c r="O217" s="1"/>
      <c r="P217" s="1"/>
      <c r="Q217" s="1"/>
    </row>
    <row r="218">
      <c r="C218" s="87"/>
      <c r="F218" s="1"/>
      <c r="N218" s="1"/>
      <c r="O218" s="1"/>
      <c r="P218" s="1"/>
      <c r="Q218" s="1"/>
    </row>
    <row r="219">
      <c r="C219" s="87"/>
      <c r="F219" s="1"/>
      <c r="N219" s="1"/>
      <c r="O219" s="1"/>
      <c r="P219" s="1"/>
      <c r="Q219" s="1"/>
    </row>
    <row r="220">
      <c r="C220" s="87"/>
      <c r="F220" s="1"/>
      <c r="N220" s="1"/>
      <c r="O220" s="1"/>
      <c r="P220" s="1"/>
      <c r="Q220" s="1"/>
    </row>
    <row r="221">
      <c r="C221" s="87"/>
      <c r="F221" s="1"/>
      <c r="N221" s="1"/>
      <c r="O221" s="1"/>
      <c r="P221" s="1"/>
      <c r="Q221" s="1"/>
    </row>
    <row r="222">
      <c r="C222" s="87"/>
      <c r="F222" s="1"/>
      <c r="N222" s="1"/>
      <c r="O222" s="1"/>
      <c r="P222" s="1"/>
      <c r="Q222" s="1"/>
    </row>
    <row r="223">
      <c r="C223" s="87"/>
      <c r="F223" s="1"/>
      <c r="N223" s="1"/>
      <c r="O223" s="1"/>
      <c r="P223" s="1"/>
      <c r="Q223" s="1"/>
    </row>
    <row r="224">
      <c r="C224" s="87"/>
      <c r="F224" s="1"/>
      <c r="N224" s="1"/>
      <c r="O224" s="1"/>
      <c r="P224" s="1"/>
      <c r="Q224" s="1"/>
    </row>
    <row r="225">
      <c r="C225" s="87"/>
      <c r="F225" s="1"/>
      <c r="N225" s="1"/>
      <c r="O225" s="1"/>
      <c r="P225" s="1"/>
      <c r="Q225" s="1"/>
    </row>
    <row r="226">
      <c r="C226" s="87"/>
      <c r="F226" s="1"/>
      <c r="N226" s="1"/>
      <c r="O226" s="1"/>
      <c r="P226" s="1"/>
      <c r="Q226" s="1"/>
    </row>
    <row r="227">
      <c r="C227" s="87"/>
      <c r="F227" s="1"/>
      <c r="N227" s="1"/>
      <c r="O227" s="1"/>
      <c r="P227" s="1"/>
      <c r="Q227" s="1"/>
    </row>
    <row r="228">
      <c r="C228" s="87"/>
      <c r="F228" s="1"/>
      <c r="N228" s="1"/>
      <c r="O228" s="1"/>
      <c r="P228" s="1"/>
      <c r="Q228" s="1"/>
    </row>
    <row r="229">
      <c r="C229" s="87"/>
      <c r="F229" s="1"/>
      <c r="N229" s="1"/>
      <c r="O229" s="1"/>
      <c r="P229" s="1"/>
      <c r="Q229" s="1"/>
    </row>
    <row r="230">
      <c r="C230" s="87"/>
      <c r="F230" s="1"/>
      <c r="N230" s="1"/>
      <c r="O230" s="1"/>
      <c r="P230" s="1"/>
      <c r="Q230" s="1"/>
    </row>
    <row r="231">
      <c r="C231" s="87"/>
      <c r="F231" s="1"/>
      <c r="N231" s="1"/>
      <c r="O231" s="1"/>
      <c r="P231" s="1"/>
      <c r="Q231" s="1"/>
    </row>
    <row r="232">
      <c r="C232" s="87"/>
      <c r="F232" s="1"/>
      <c r="N232" s="1"/>
      <c r="O232" s="1"/>
      <c r="P232" s="1"/>
      <c r="Q232" s="1"/>
    </row>
    <row r="233">
      <c r="C233" s="87"/>
      <c r="F233" s="1"/>
      <c r="N233" s="1"/>
      <c r="O233" s="1"/>
      <c r="P233" s="1"/>
      <c r="Q233" s="1"/>
    </row>
    <row r="234">
      <c r="C234" s="87"/>
      <c r="F234" s="1"/>
      <c r="N234" s="1"/>
      <c r="O234" s="1"/>
      <c r="P234" s="1"/>
      <c r="Q234" s="1"/>
    </row>
    <row r="235">
      <c r="C235" s="87"/>
      <c r="F235" s="1"/>
      <c r="N235" s="1"/>
      <c r="O235" s="1"/>
      <c r="P235" s="1"/>
      <c r="Q235" s="1"/>
    </row>
    <row r="236">
      <c r="C236" s="87"/>
      <c r="F236" s="1"/>
      <c r="N236" s="1"/>
      <c r="O236" s="1"/>
      <c r="P236" s="1"/>
      <c r="Q236" s="1"/>
    </row>
    <row r="237">
      <c r="C237" s="87"/>
      <c r="F237" s="1"/>
      <c r="N237" s="1"/>
      <c r="O237" s="1"/>
      <c r="P237" s="1"/>
      <c r="Q237" s="1"/>
    </row>
    <row r="238">
      <c r="C238" s="87"/>
      <c r="F238" s="1"/>
      <c r="N238" s="1"/>
      <c r="O238" s="1"/>
      <c r="P238" s="1"/>
      <c r="Q238" s="1"/>
    </row>
    <row r="239">
      <c r="C239" s="87"/>
      <c r="F239" s="1"/>
      <c r="N239" s="1"/>
      <c r="O239" s="1"/>
      <c r="P239" s="1"/>
      <c r="Q239" s="1"/>
    </row>
    <row r="240">
      <c r="C240" s="87"/>
      <c r="F240" s="1"/>
      <c r="N240" s="1"/>
      <c r="O240" s="1"/>
      <c r="P240" s="1"/>
      <c r="Q240" s="1"/>
    </row>
    <row r="241">
      <c r="C241" s="87"/>
      <c r="F241" s="1"/>
      <c r="N241" s="1"/>
      <c r="O241" s="1"/>
      <c r="P241" s="1"/>
      <c r="Q241" s="1"/>
    </row>
    <row r="242">
      <c r="C242" s="87"/>
      <c r="F242" s="1"/>
      <c r="N242" s="1"/>
      <c r="O242" s="1"/>
      <c r="P242" s="1"/>
      <c r="Q242" s="1"/>
    </row>
    <row r="243">
      <c r="C243" s="87"/>
      <c r="F243" s="1"/>
      <c r="N243" s="1"/>
      <c r="O243" s="1"/>
      <c r="P243" s="1"/>
      <c r="Q243" s="1"/>
    </row>
    <row r="244">
      <c r="C244" s="87"/>
      <c r="F244" s="1"/>
      <c r="N244" s="1"/>
      <c r="O244" s="1"/>
      <c r="P244" s="1"/>
      <c r="Q244" s="1"/>
    </row>
    <row r="245">
      <c r="C245" s="87"/>
      <c r="F245" s="1"/>
      <c r="N245" s="1"/>
      <c r="O245" s="1"/>
      <c r="P245" s="1"/>
      <c r="Q245" s="1"/>
    </row>
    <row r="246">
      <c r="C246" s="87"/>
      <c r="F246" s="1"/>
      <c r="N246" s="1"/>
      <c r="O246" s="1"/>
      <c r="P246" s="1"/>
      <c r="Q246" s="1"/>
    </row>
    <row r="247">
      <c r="C247" s="87"/>
      <c r="F247" s="1"/>
      <c r="N247" s="1"/>
      <c r="O247" s="1"/>
      <c r="P247" s="1"/>
      <c r="Q247" s="1"/>
    </row>
    <row r="248">
      <c r="C248" s="87"/>
      <c r="F248" s="1"/>
      <c r="N248" s="1"/>
      <c r="O248" s="1"/>
      <c r="P248" s="1"/>
      <c r="Q248" s="1"/>
    </row>
    <row r="249">
      <c r="C249" s="87"/>
      <c r="F249" s="1"/>
      <c r="N249" s="1"/>
      <c r="O249" s="1"/>
      <c r="P249" s="1"/>
      <c r="Q249" s="1"/>
    </row>
    <row r="250">
      <c r="C250" s="87"/>
      <c r="F250" s="1"/>
      <c r="N250" s="1"/>
      <c r="O250" s="1"/>
      <c r="P250" s="1"/>
      <c r="Q250" s="1"/>
    </row>
    <row r="251">
      <c r="C251" s="87"/>
      <c r="F251" s="1"/>
      <c r="N251" s="1"/>
      <c r="O251" s="1"/>
      <c r="P251" s="1"/>
      <c r="Q251" s="1"/>
    </row>
    <row r="252">
      <c r="C252" s="87"/>
      <c r="F252" s="1"/>
      <c r="N252" s="1"/>
      <c r="O252" s="1"/>
      <c r="P252" s="1"/>
      <c r="Q252" s="1"/>
    </row>
    <row r="253">
      <c r="C253" s="87"/>
      <c r="F253" s="1"/>
      <c r="N253" s="1"/>
      <c r="O253" s="1"/>
      <c r="P253" s="1"/>
      <c r="Q253" s="1"/>
    </row>
    <row r="254">
      <c r="C254" s="87"/>
      <c r="F254" s="1"/>
      <c r="N254" s="1"/>
      <c r="O254" s="1"/>
      <c r="P254" s="1"/>
      <c r="Q254" s="1"/>
    </row>
    <row r="255">
      <c r="C255" s="87"/>
      <c r="F255" s="1"/>
      <c r="N255" s="1"/>
      <c r="O255" s="1"/>
      <c r="P255" s="1"/>
      <c r="Q255" s="1"/>
    </row>
    <row r="256">
      <c r="C256" s="87"/>
      <c r="F256" s="1"/>
      <c r="N256" s="1"/>
      <c r="O256" s="1"/>
      <c r="P256" s="1"/>
      <c r="Q256" s="1"/>
    </row>
    <row r="257">
      <c r="C257" s="87"/>
      <c r="F257" s="1"/>
      <c r="N257" s="1"/>
      <c r="O257" s="1"/>
      <c r="P257" s="1"/>
      <c r="Q257" s="1"/>
    </row>
    <row r="258">
      <c r="C258" s="87"/>
      <c r="F258" s="1"/>
      <c r="N258" s="1"/>
      <c r="O258" s="1"/>
      <c r="P258" s="1"/>
      <c r="Q258" s="1"/>
    </row>
    <row r="259">
      <c r="C259" s="87"/>
      <c r="F259" s="1"/>
      <c r="N259" s="1"/>
      <c r="O259" s="1"/>
      <c r="P259" s="1"/>
      <c r="Q259" s="1"/>
    </row>
    <row r="260">
      <c r="C260" s="87"/>
      <c r="F260" s="1"/>
      <c r="N260" s="1"/>
      <c r="O260" s="1"/>
      <c r="P260" s="1"/>
      <c r="Q260" s="1"/>
    </row>
    <row r="261">
      <c r="C261" s="87"/>
      <c r="F261" s="1"/>
      <c r="N261" s="1"/>
      <c r="O261" s="1"/>
      <c r="P261" s="1"/>
      <c r="Q261" s="1"/>
    </row>
    <row r="262">
      <c r="C262" s="87"/>
      <c r="F262" s="1"/>
      <c r="N262" s="1"/>
      <c r="O262" s="1"/>
      <c r="P262" s="1"/>
      <c r="Q262" s="1"/>
    </row>
    <row r="263">
      <c r="C263" s="87"/>
      <c r="F263" s="1"/>
      <c r="N263" s="1"/>
      <c r="O263" s="1"/>
      <c r="P263" s="1"/>
      <c r="Q263" s="1"/>
    </row>
    <row r="264">
      <c r="C264" s="87"/>
      <c r="F264" s="1"/>
      <c r="N264" s="1"/>
      <c r="O264" s="1"/>
      <c r="P264" s="1"/>
      <c r="Q264" s="1"/>
    </row>
    <row r="265">
      <c r="C265" s="87"/>
      <c r="F265" s="1"/>
      <c r="N265" s="1"/>
      <c r="O265" s="1"/>
      <c r="P265" s="1"/>
      <c r="Q265" s="1"/>
    </row>
    <row r="266">
      <c r="C266" s="87"/>
      <c r="F266" s="1"/>
      <c r="N266" s="1"/>
      <c r="O266" s="1"/>
      <c r="P266" s="1"/>
      <c r="Q266" s="1"/>
    </row>
    <row r="267">
      <c r="C267" s="87"/>
      <c r="F267" s="1"/>
      <c r="N267" s="1"/>
      <c r="O267" s="1"/>
      <c r="P267" s="1"/>
      <c r="Q267" s="1"/>
    </row>
    <row r="268">
      <c r="C268" s="87"/>
      <c r="F268" s="1"/>
      <c r="N268" s="1"/>
      <c r="O268" s="1"/>
      <c r="P268" s="1"/>
      <c r="Q268" s="1"/>
    </row>
    <row r="269">
      <c r="C269" s="87"/>
      <c r="F269" s="1"/>
      <c r="N269" s="1"/>
      <c r="O269" s="1"/>
      <c r="P269" s="1"/>
      <c r="Q269" s="1"/>
    </row>
    <row r="270">
      <c r="C270" s="87"/>
      <c r="F270" s="1"/>
      <c r="N270" s="1"/>
      <c r="O270" s="1"/>
      <c r="P270" s="1"/>
      <c r="Q270" s="1"/>
    </row>
    <row r="271">
      <c r="C271" s="87"/>
      <c r="F271" s="1"/>
      <c r="N271" s="1"/>
      <c r="O271" s="1"/>
      <c r="P271" s="1"/>
      <c r="Q271" s="1"/>
    </row>
    <row r="272">
      <c r="C272" s="87"/>
      <c r="F272" s="1"/>
      <c r="N272" s="1"/>
      <c r="O272" s="1"/>
      <c r="P272" s="1"/>
      <c r="Q272" s="1"/>
    </row>
    <row r="273">
      <c r="C273" s="87"/>
      <c r="F273" s="1"/>
      <c r="N273" s="1"/>
      <c r="O273" s="1"/>
      <c r="P273" s="1"/>
      <c r="Q273" s="1"/>
    </row>
    <row r="274">
      <c r="C274" s="87"/>
      <c r="F274" s="1"/>
      <c r="N274" s="1"/>
      <c r="O274" s="1"/>
      <c r="P274" s="1"/>
      <c r="Q274" s="1"/>
    </row>
    <row r="275">
      <c r="C275" s="87"/>
      <c r="F275" s="1"/>
      <c r="N275" s="1"/>
      <c r="O275" s="1"/>
      <c r="P275" s="1"/>
      <c r="Q275" s="1"/>
    </row>
    <row r="276">
      <c r="C276" s="87"/>
      <c r="F276" s="1"/>
      <c r="N276" s="1"/>
      <c r="O276" s="1"/>
      <c r="P276" s="1"/>
      <c r="Q276" s="1"/>
    </row>
    <row r="277">
      <c r="C277" s="87"/>
      <c r="F277" s="1"/>
      <c r="N277" s="1"/>
      <c r="O277" s="1"/>
      <c r="P277" s="1"/>
      <c r="Q277" s="1"/>
    </row>
    <row r="278">
      <c r="C278" s="87"/>
      <c r="F278" s="1"/>
      <c r="N278" s="1"/>
      <c r="O278" s="1"/>
      <c r="P278" s="1"/>
      <c r="Q278" s="1"/>
    </row>
    <row r="279">
      <c r="C279" s="87"/>
      <c r="F279" s="1"/>
      <c r="N279" s="1"/>
      <c r="O279" s="1"/>
      <c r="P279" s="1"/>
      <c r="Q279" s="1"/>
    </row>
    <row r="280">
      <c r="C280" s="87"/>
      <c r="F280" s="1"/>
      <c r="N280" s="1"/>
      <c r="O280" s="1"/>
      <c r="P280" s="1"/>
      <c r="Q280" s="1"/>
    </row>
    <row r="281">
      <c r="C281" s="87"/>
      <c r="F281" s="1"/>
      <c r="N281" s="1"/>
      <c r="O281" s="1"/>
      <c r="P281" s="1"/>
      <c r="Q281" s="1"/>
    </row>
    <row r="282">
      <c r="C282" s="87"/>
      <c r="F282" s="1"/>
      <c r="N282" s="1"/>
      <c r="O282" s="1"/>
      <c r="P282" s="1"/>
      <c r="Q282" s="1"/>
    </row>
    <row r="283">
      <c r="C283" s="87"/>
      <c r="F283" s="1"/>
      <c r="N283" s="1"/>
      <c r="O283" s="1"/>
      <c r="P283" s="1"/>
      <c r="Q283" s="1"/>
    </row>
    <row r="284">
      <c r="C284" s="87"/>
      <c r="F284" s="1"/>
      <c r="N284" s="1"/>
      <c r="O284" s="1"/>
      <c r="P284" s="1"/>
      <c r="Q284" s="1"/>
    </row>
    <row r="285">
      <c r="C285" s="87"/>
      <c r="F285" s="1"/>
      <c r="N285" s="1"/>
      <c r="O285" s="1"/>
      <c r="P285" s="1"/>
      <c r="Q285" s="1"/>
    </row>
    <row r="286">
      <c r="C286" s="87"/>
      <c r="F286" s="1"/>
      <c r="N286" s="1"/>
      <c r="O286" s="1"/>
      <c r="P286" s="1"/>
      <c r="Q286" s="1"/>
    </row>
    <row r="287">
      <c r="C287" s="87"/>
      <c r="F287" s="1"/>
      <c r="N287" s="1"/>
      <c r="O287" s="1"/>
      <c r="P287" s="1"/>
      <c r="Q287" s="1"/>
    </row>
    <row r="288">
      <c r="C288" s="87"/>
      <c r="F288" s="1"/>
      <c r="N288" s="1"/>
      <c r="O288" s="1"/>
      <c r="P288" s="1"/>
      <c r="Q288" s="1"/>
    </row>
    <row r="289">
      <c r="C289" s="87"/>
      <c r="F289" s="1"/>
      <c r="N289" s="1"/>
      <c r="O289" s="1"/>
      <c r="P289" s="1"/>
      <c r="Q289" s="1"/>
    </row>
    <row r="290">
      <c r="C290" s="87"/>
      <c r="F290" s="1"/>
      <c r="N290" s="1"/>
      <c r="O290" s="1"/>
      <c r="P290" s="1"/>
      <c r="Q290" s="1"/>
    </row>
    <row r="291">
      <c r="C291" s="87"/>
      <c r="F291" s="1"/>
      <c r="N291" s="1"/>
      <c r="O291" s="1"/>
      <c r="P291" s="1"/>
      <c r="Q291" s="1"/>
    </row>
    <row r="292">
      <c r="C292" s="87"/>
      <c r="F292" s="1"/>
      <c r="N292" s="1"/>
      <c r="O292" s="1"/>
      <c r="P292" s="1"/>
      <c r="Q292" s="1"/>
    </row>
    <row r="293">
      <c r="C293" s="87"/>
      <c r="F293" s="1"/>
      <c r="N293" s="1"/>
      <c r="O293" s="1"/>
      <c r="P293" s="1"/>
      <c r="Q293" s="1"/>
    </row>
    <row r="294">
      <c r="C294" s="87"/>
      <c r="F294" s="1"/>
      <c r="N294" s="1"/>
      <c r="O294" s="1"/>
      <c r="P294" s="1"/>
      <c r="Q294" s="1"/>
    </row>
    <row r="295">
      <c r="C295" s="87"/>
      <c r="F295" s="1"/>
      <c r="N295" s="1"/>
      <c r="O295" s="1"/>
      <c r="P295" s="1"/>
      <c r="Q295" s="1"/>
    </row>
    <row r="296">
      <c r="C296" s="87"/>
      <c r="F296" s="1"/>
      <c r="N296" s="1"/>
      <c r="O296" s="1"/>
      <c r="P296" s="1"/>
      <c r="Q296" s="1"/>
    </row>
    <row r="297">
      <c r="C297" s="87"/>
      <c r="F297" s="1"/>
      <c r="N297" s="1"/>
      <c r="O297" s="1"/>
      <c r="P297" s="1"/>
      <c r="Q297" s="1"/>
    </row>
    <row r="298">
      <c r="C298" s="87"/>
      <c r="F298" s="1"/>
      <c r="N298" s="1"/>
      <c r="O298" s="1"/>
      <c r="P298" s="1"/>
      <c r="Q298" s="1"/>
    </row>
    <row r="299">
      <c r="C299" s="87"/>
      <c r="F299" s="1"/>
      <c r="N299" s="1"/>
      <c r="O299" s="1"/>
      <c r="P299" s="1"/>
      <c r="Q299" s="1"/>
    </row>
    <row r="300">
      <c r="C300" s="87"/>
      <c r="F300" s="1"/>
      <c r="N300" s="1"/>
      <c r="O300" s="1"/>
      <c r="P300" s="1"/>
      <c r="Q300" s="1"/>
    </row>
    <row r="301">
      <c r="C301" s="87"/>
      <c r="F301" s="1"/>
      <c r="N301" s="1"/>
      <c r="O301" s="1"/>
      <c r="P301" s="1"/>
      <c r="Q301" s="1"/>
    </row>
    <row r="302">
      <c r="C302" s="87"/>
      <c r="F302" s="1"/>
      <c r="N302" s="1"/>
      <c r="O302" s="1"/>
      <c r="P302" s="1"/>
      <c r="Q302" s="1"/>
    </row>
    <row r="303">
      <c r="C303" s="87"/>
      <c r="F303" s="1"/>
      <c r="N303" s="1"/>
      <c r="O303" s="1"/>
      <c r="P303" s="1"/>
      <c r="Q303" s="1"/>
    </row>
    <row r="304">
      <c r="C304" s="87"/>
      <c r="F304" s="1"/>
      <c r="N304" s="1"/>
      <c r="O304" s="1"/>
      <c r="P304" s="1"/>
      <c r="Q304" s="1"/>
    </row>
    <row r="305">
      <c r="C305" s="87"/>
      <c r="F305" s="1"/>
      <c r="N305" s="1"/>
      <c r="O305" s="1"/>
      <c r="P305" s="1"/>
      <c r="Q305" s="1"/>
    </row>
    <row r="306">
      <c r="C306" s="87"/>
      <c r="F306" s="1"/>
      <c r="N306" s="1"/>
      <c r="O306" s="1"/>
      <c r="P306" s="1"/>
      <c r="Q306" s="1"/>
    </row>
    <row r="307">
      <c r="C307" s="87"/>
      <c r="F307" s="1"/>
      <c r="N307" s="1"/>
      <c r="O307" s="1"/>
      <c r="P307" s="1"/>
      <c r="Q307" s="1"/>
    </row>
    <row r="308">
      <c r="C308" s="87"/>
      <c r="F308" s="1"/>
      <c r="N308" s="1"/>
      <c r="O308" s="1"/>
      <c r="P308" s="1"/>
      <c r="Q308" s="1"/>
    </row>
    <row r="309">
      <c r="C309" s="87"/>
      <c r="F309" s="1"/>
      <c r="N309" s="1"/>
      <c r="O309" s="1"/>
      <c r="P309" s="1"/>
      <c r="Q309" s="1"/>
    </row>
    <row r="310">
      <c r="C310" s="87"/>
      <c r="F310" s="1"/>
      <c r="N310" s="1"/>
      <c r="O310" s="1"/>
      <c r="P310" s="1"/>
      <c r="Q310" s="1"/>
    </row>
    <row r="311">
      <c r="C311" s="87"/>
      <c r="F311" s="1"/>
      <c r="N311" s="1"/>
      <c r="O311" s="1"/>
      <c r="P311" s="1"/>
      <c r="Q311" s="1"/>
    </row>
    <row r="312">
      <c r="C312" s="87"/>
      <c r="F312" s="1"/>
      <c r="N312" s="1"/>
      <c r="O312" s="1"/>
      <c r="P312" s="1"/>
      <c r="Q312" s="1"/>
    </row>
    <row r="313">
      <c r="C313" s="87"/>
      <c r="F313" s="1"/>
      <c r="N313" s="1"/>
      <c r="O313" s="1"/>
      <c r="P313" s="1"/>
      <c r="Q313" s="1"/>
    </row>
    <row r="314">
      <c r="C314" s="87"/>
      <c r="F314" s="1"/>
      <c r="N314" s="1"/>
      <c r="O314" s="1"/>
      <c r="P314" s="1"/>
      <c r="Q314" s="1"/>
    </row>
    <row r="315">
      <c r="C315" s="87"/>
      <c r="F315" s="1"/>
      <c r="N315" s="1"/>
      <c r="O315" s="1"/>
      <c r="P315" s="1"/>
      <c r="Q315" s="1"/>
    </row>
    <row r="316">
      <c r="C316" s="87"/>
      <c r="F316" s="1"/>
      <c r="N316" s="1"/>
      <c r="O316" s="1"/>
      <c r="P316" s="1"/>
      <c r="Q316" s="1"/>
    </row>
    <row r="317">
      <c r="C317" s="87"/>
      <c r="F317" s="1"/>
      <c r="N317" s="1"/>
      <c r="O317" s="1"/>
      <c r="P317" s="1"/>
      <c r="Q317" s="1"/>
    </row>
    <row r="318">
      <c r="C318" s="87"/>
      <c r="F318" s="1"/>
      <c r="N318" s="1"/>
      <c r="O318" s="1"/>
      <c r="P318" s="1"/>
      <c r="Q318" s="1"/>
    </row>
    <row r="319">
      <c r="C319" s="87"/>
      <c r="F319" s="1"/>
      <c r="N319" s="1"/>
      <c r="O319" s="1"/>
      <c r="P319" s="1"/>
      <c r="Q319" s="1"/>
    </row>
    <row r="320">
      <c r="C320" s="87"/>
      <c r="F320" s="1"/>
      <c r="N320" s="1"/>
      <c r="O320" s="1"/>
      <c r="P320" s="1"/>
      <c r="Q320" s="1"/>
    </row>
    <row r="321">
      <c r="C321" s="87"/>
      <c r="F321" s="1"/>
      <c r="N321" s="1"/>
      <c r="O321" s="1"/>
      <c r="P321" s="1"/>
      <c r="Q321" s="1"/>
    </row>
    <row r="322">
      <c r="C322" s="87"/>
      <c r="F322" s="1"/>
      <c r="N322" s="1"/>
      <c r="O322" s="1"/>
      <c r="P322" s="1"/>
      <c r="Q322" s="1"/>
    </row>
    <row r="323">
      <c r="C323" s="87"/>
      <c r="F323" s="1"/>
      <c r="N323" s="1"/>
      <c r="O323" s="1"/>
      <c r="P323" s="1"/>
      <c r="Q323" s="1"/>
    </row>
    <row r="324">
      <c r="C324" s="87"/>
      <c r="F324" s="1"/>
      <c r="N324" s="1"/>
      <c r="O324" s="1"/>
      <c r="P324" s="1"/>
      <c r="Q324" s="1"/>
    </row>
    <row r="325">
      <c r="C325" s="87"/>
      <c r="F325" s="1"/>
      <c r="N325" s="1"/>
      <c r="O325" s="1"/>
      <c r="P325" s="1"/>
      <c r="Q325" s="1"/>
    </row>
    <row r="326">
      <c r="C326" s="87"/>
      <c r="F326" s="1"/>
      <c r="N326" s="1"/>
      <c r="O326" s="1"/>
      <c r="P326" s="1"/>
      <c r="Q326" s="1"/>
    </row>
    <row r="327">
      <c r="C327" s="87"/>
      <c r="F327" s="1"/>
      <c r="N327" s="1"/>
      <c r="O327" s="1"/>
      <c r="P327" s="1"/>
      <c r="Q327" s="1"/>
    </row>
    <row r="328">
      <c r="C328" s="87"/>
      <c r="F328" s="1"/>
      <c r="N328" s="1"/>
      <c r="O328" s="1"/>
      <c r="P328" s="1"/>
      <c r="Q328" s="1"/>
    </row>
    <row r="329">
      <c r="C329" s="87"/>
      <c r="F329" s="1"/>
      <c r="N329" s="1"/>
      <c r="O329" s="1"/>
      <c r="P329" s="1"/>
      <c r="Q329" s="1"/>
    </row>
    <row r="330">
      <c r="C330" s="87"/>
      <c r="F330" s="1"/>
      <c r="N330" s="1"/>
      <c r="O330" s="1"/>
      <c r="P330" s="1"/>
      <c r="Q330" s="1"/>
    </row>
    <row r="331">
      <c r="C331" s="87"/>
      <c r="F331" s="1"/>
      <c r="N331" s="1"/>
      <c r="O331" s="1"/>
      <c r="P331" s="1"/>
      <c r="Q331" s="1"/>
    </row>
    <row r="332">
      <c r="C332" s="87"/>
      <c r="F332" s="1"/>
      <c r="N332" s="1"/>
      <c r="O332" s="1"/>
      <c r="P332" s="1"/>
      <c r="Q332" s="1"/>
    </row>
    <row r="333">
      <c r="C333" s="87"/>
      <c r="F333" s="1"/>
      <c r="N333" s="1"/>
      <c r="O333" s="1"/>
      <c r="P333" s="1"/>
      <c r="Q333" s="1"/>
    </row>
    <row r="334">
      <c r="C334" s="87"/>
      <c r="F334" s="1"/>
      <c r="N334" s="1"/>
      <c r="O334" s="1"/>
      <c r="P334" s="1"/>
      <c r="Q334" s="1"/>
    </row>
    <row r="335">
      <c r="C335" s="87"/>
      <c r="F335" s="1"/>
      <c r="N335" s="1"/>
      <c r="O335" s="1"/>
      <c r="P335" s="1"/>
      <c r="Q335" s="1"/>
    </row>
    <row r="336">
      <c r="C336" s="87"/>
      <c r="F336" s="1"/>
      <c r="N336" s="1"/>
      <c r="O336" s="1"/>
      <c r="P336" s="1"/>
      <c r="Q336" s="1"/>
    </row>
    <row r="337">
      <c r="C337" s="87"/>
      <c r="F337" s="1"/>
      <c r="N337" s="1"/>
      <c r="O337" s="1"/>
      <c r="P337" s="1"/>
      <c r="Q337" s="1"/>
    </row>
    <row r="338">
      <c r="C338" s="87"/>
      <c r="F338" s="1"/>
      <c r="N338" s="1"/>
      <c r="O338" s="1"/>
      <c r="P338" s="1"/>
      <c r="Q338" s="1"/>
    </row>
    <row r="339">
      <c r="C339" s="87"/>
      <c r="F339" s="1"/>
      <c r="N339" s="1"/>
      <c r="O339" s="1"/>
      <c r="P339" s="1"/>
      <c r="Q339" s="1"/>
    </row>
    <row r="340">
      <c r="C340" s="87"/>
      <c r="F340" s="1"/>
      <c r="N340" s="1"/>
      <c r="O340" s="1"/>
      <c r="P340" s="1"/>
      <c r="Q340" s="1"/>
    </row>
    <row r="341">
      <c r="C341" s="87"/>
      <c r="F341" s="1"/>
      <c r="N341" s="1"/>
      <c r="O341" s="1"/>
      <c r="P341" s="1"/>
      <c r="Q341" s="1"/>
    </row>
    <row r="342">
      <c r="C342" s="87"/>
      <c r="F342" s="1"/>
      <c r="N342" s="1"/>
      <c r="O342" s="1"/>
      <c r="P342" s="1"/>
      <c r="Q342" s="1"/>
    </row>
    <row r="343">
      <c r="C343" s="87"/>
      <c r="F343" s="1"/>
      <c r="N343" s="1"/>
      <c r="O343" s="1"/>
      <c r="P343" s="1"/>
      <c r="Q343" s="1"/>
    </row>
    <row r="344">
      <c r="C344" s="87"/>
      <c r="F344" s="1"/>
      <c r="N344" s="1"/>
      <c r="O344" s="1"/>
      <c r="P344" s="1"/>
      <c r="Q344" s="1"/>
    </row>
    <row r="345">
      <c r="C345" s="87"/>
      <c r="F345" s="1"/>
      <c r="N345" s="1"/>
      <c r="O345" s="1"/>
      <c r="P345" s="1"/>
      <c r="Q345" s="1"/>
    </row>
    <row r="346">
      <c r="C346" s="87"/>
      <c r="F346" s="1"/>
      <c r="N346" s="1"/>
      <c r="O346" s="1"/>
      <c r="P346" s="1"/>
      <c r="Q346" s="1"/>
    </row>
    <row r="347">
      <c r="C347" s="87"/>
      <c r="F347" s="1"/>
      <c r="N347" s="1"/>
      <c r="O347" s="1"/>
      <c r="P347" s="1"/>
      <c r="Q347" s="1"/>
    </row>
    <row r="348">
      <c r="C348" s="87"/>
      <c r="F348" s="1"/>
      <c r="N348" s="1"/>
      <c r="O348" s="1"/>
      <c r="P348" s="1"/>
      <c r="Q348" s="1"/>
    </row>
    <row r="349">
      <c r="C349" s="87"/>
      <c r="F349" s="1"/>
      <c r="N349" s="1"/>
      <c r="O349" s="1"/>
      <c r="P349" s="1"/>
      <c r="Q349" s="1"/>
    </row>
    <row r="350">
      <c r="C350" s="87"/>
      <c r="F350" s="1"/>
      <c r="N350" s="1"/>
      <c r="O350" s="1"/>
      <c r="P350" s="1"/>
      <c r="Q350" s="1"/>
    </row>
    <row r="351">
      <c r="C351" s="87"/>
      <c r="F351" s="1"/>
      <c r="N351" s="1"/>
      <c r="O351" s="1"/>
      <c r="P351" s="1"/>
      <c r="Q351" s="1"/>
    </row>
    <row r="352">
      <c r="C352" s="87"/>
      <c r="F352" s="1"/>
      <c r="N352" s="1"/>
      <c r="O352" s="1"/>
      <c r="P352" s="1"/>
      <c r="Q352" s="1"/>
    </row>
    <row r="353">
      <c r="C353" s="87"/>
      <c r="F353" s="1"/>
      <c r="N353" s="1"/>
      <c r="O353" s="1"/>
      <c r="P353" s="1"/>
      <c r="Q353" s="1"/>
    </row>
    <row r="354">
      <c r="C354" s="87"/>
      <c r="F354" s="1"/>
      <c r="N354" s="1"/>
      <c r="O354" s="1"/>
      <c r="P354" s="1"/>
      <c r="Q354" s="1"/>
    </row>
    <row r="355">
      <c r="C355" s="87"/>
      <c r="F355" s="1"/>
      <c r="N355" s="1"/>
      <c r="O355" s="1"/>
      <c r="P355" s="1"/>
      <c r="Q355" s="1"/>
    </row>
    <row r="356">
      <c r="C356" s="87"/>
      <c r="F356" s="1"/>
      <c r="N356" s="1"/>
      <c r="O356" s="1"/>
      <c r="P356" s="1"/>
      <c r="Q356" s="1"/>
    </row>
    <row r="357">
      <c r="C357" s="87"/>
      <c r="F357" s="1"/>
      <c r="N357" s="1"/>
      <c r="O357" s="1"/>
      <c r="P357" s="1"/>
      <c r="Q357" s="1"/>
    </row>
    <row r="358">
      <c r="C358" s="87"/>
      <c r="F358" s="1"/>
      <c r="N358" s="1"/>
      <c r="O358" s="1"/>
      <c r="P358" s="1"/>
      <c r="Q358" s="1"/>
    </row>
    <row r="359">
      <c r="C359" s="87"/>
      <c r="F359" s="1"/>
      <c r="N359" s="1"/>
      <c r="O359" s="1"/>
      <c r="P359" s="1"/>
      <c r="Q359" s="1"/>
    </row>
    <row r="360">
      <c r="C360" s="87"/>
      <c r="F360" s="1"/>
      <c r="N360" s="1"/>
      <c r="O360" s="1"/>
      <c r="P360" s="1"/>
      <c r="Q360" s="1"/>
    </row>
    <row r="361">
      <c r="C361" s="87"/>
      <c r="F361" s="1"/>
      <c r="N361" s="1"/>
      <c r="O361" s="1"/>
      <c r="P361" s="1"/>
      <c r="Q361" s="1"/>
    </row>
    <row r="362">
      <c r="C362" s="87"/>
      <c r="F362" s="1"/>
      <c r="N362" s="1"/>
      <c r="O362" s="1"/>
      <c r="P362" s="1"/>
      <c r="Q362" s="1"/>
    </row>
    <row r="363">
      <c r="C363" s="87"/>
      <c r="F363" s="1"/>
      <c r="N363" s="1"/>
      <c r="O363" s="1"/>
      <c r="P363" s="1"/>
      <c r="Q363" s="1"/>
    </row>
    <row r="364">
      <c r="C364" s="87"/>
      <c r="F364" s="1"/>
      <c r="N364" s="1"/>
      <c r="O364" s="1"/>
      <c r="P364" s="1"/>
      <c r="Q364" s="1"/>
    </row>
    <row r="365">
      <c r="C365" s="87"/>
      <c r="F365" s="1"/>
      <c r="N365" s="1"/>
      <c r="O365" s="1"/>
      <c r="P365" s="1"/>
      <c r="Q365" s="1"/>
    </row>
    <row r="366">
      <c r="C366" s="87"/>
      <c r="F366" s="1"/>
      <c r="N366" s="1"/>
      <c r="O366" s="1"/>
      <c r="P366" s="1"/>
      <c r="Q366" s="1"/>
    </row>
    <row r="367">
      <c r="C367" s="87"/>
      <c r="F367" s="1"/>
      <c r="N367" s="1"/>
      <c r="O367" s="1"/>
      <c r="P367" s="1"/>
      <c r="Q367" s="1"/>
    </row>
    <row r="368">
      <c r="C368" s="87"/>
      <c r="F368" s="1"/>
      <c r="N368" s="1"/>
      <c r="O368" s="1"/>
      <c r="P368" s="1"/>
      <c r="Q368" s="1"/>
    </row>
    <row r="369">
      <c r="C369" s="87"/>
      <c r="F369" s="1"/>
      <c r="N369" s="1"/>
      <c r="O369" s="1"/>
      <c r="P369" s="1"/>
      <c r="Q369" s="1"/>
    </row>
    <row r="370">
      <c r="C370" s="87"/>
      <c r="F370" s="1"/>
      <c r="N370" s="1"/>
      <c r="O370" s="1"/>
      <c r="P370" s="1"/>
      <c r="Q370" s="1"/>
    </row>
    <row r="371">
      <c r="C371" s="87"/>
      <c r="F371" s="1"/>
      <c r="N371" s="1"/>
      <c r="O371" s="1"/>
      <c r="P371" s="1"/>
      <c r="Q371" s="1"/>
    </row>
    <row r="372">
      <c r="C372" s="87"/>
      <c r="F372" s="1"/>
      <c r="N372" s="1"/>
      <c r="O372" s="1"/>
      <c r="P372" s="1"/>
      <c r="Q372" s="1"/>
    </row>
    <row r="373">
      <c r="C373" s="87"/>
      <c r="F373" s="1"/>
      <c r="N373" s="1"/>
      <c r="O373" s="1"/>
      <c r="P373" s="1"/>
      <c r="Q373" s="1"/>
    </row>
    <row r="374">
      <c r="C374" s="87"/>
      <c r="F374" s="1"/>
      <c r="N374" s="1"/>
      <c r="O374" s="1"/>
      <c r="P374" s="1"/>
      <c r="Q374" s="1"/>
    </row>
    <row r="375">
      <c r="C375" s="87"/>
      <c r="F375" s="1"/>
      <c r="N375" s="1"/>
      <c r="O375" s="1"/>
      <c r="P375" s="1"/>
      <c r="Q375" s="1"/>
    </row>
    <row r="376">
      <c r="C376" s="87"/>
      <c r="F376" s="1"/>
      <c r="N376" s="1"/>
      <c r="O376" s="1"/>
      <c r="P376" s="1"/>
      <c r="Q376" s="1"/>
    </row>
    <row r="377">
      <c r="C377" s="87"/>
      <c r="F377" s="1"/>
      <c r="N377" s="1"/>
      <c r="O377" s="1"/>
      <c r="P377" s="1"/>
      <c r="Q377" s="1"/>
    </row>
    <row r="378">
      <c r="C378" s="87"/>
      <c r="F378" s="1"/>
      <c r="N378" s="1"/>
      <c r="O378" s="1"/>
      <c r="P378" s="1"/>
      <c r="Q378" s="1"/>
    </row>
    <row r="379">
      <c r="C379" s="87"/>
      <c r="F379" s="1"/>
      <c r="N379" s="1"/>
      <c r="O379" s="1"/>
      <c r="P379" s="1"/>
      <c r="Q379" s="1"/>
    </row>
    <row r="380">
      <c r="C380" s="87"/>
      <c r="F380" s="1"/>
      <c r="N380" s="1"/>
      <c r="O380" s="1"/>
      <c r="P380" s="1"/>
      <c r="Q380" s="1"/>
    </row>
    <row r="381">
      <c r="C381" s="87"/>
      <c r="F381" s="1"/>
      <c r="N381" s="1"/>
      <c r="O381" s="1"/>
      <c r="P381" s="1"/>
      <c r="Q381" s="1"/>
    </row>
    <row r="382">
      <c r="C382" s="87"/>
      <c r="F382" s="1"/>
      <c r="N382" s="1"/>
      <c r="O382" s="1"/>
      <c r="P382" s="1"/>
      <c r="Q382" s="1"/>
    </row>
    <row r="383">
      <c r="C383" s="87"/>
      <c r="F383" s="1"/>
      <c r="N383" s="1"/>
      <c r="O383" s="1"/>
      <c r="P383" s="1"/>
      <c r="Q383" s="1"/>
    </row>
    <row r="384">
      <c r="C384" s="87"/>
      <c r="F384" s="1"/>
      <c r="N384" s="1"/>
      <c r="O384" s="1"/>
      <c r="P384" s="1"/>
      <c r="Q384" s="1"/>
    </row>
    <row r="385">
      <c r="C385" s="87"/>
      <c r="F385" s="1"/>
      <c r="N385" s="1"/>
      <c r="O385" s="1"/>
      <c r="P385" s="1"/>
      <c r="Q385" s="1"/>
    </row>
    <row r="386">
      <c r="C386" s="87"/>
      <c r="F386" s="1"/>
      <c r="N386" s="1"/>
      <c r="O386" s="1"/>
      <c r="P386" s="1"/>
      <c r="Q386" s="1"/>
    </row>
    <row r="387">
      <c r="C387" s="87"/>
      <c r="F387" s="1"/>
      <c r="N387" s="1"/>
      <c r="O387" s="1"/>
      <c r="P387" s="1"/>
      <c r="Q387" s="1"/>
    </row>
    <row r="388">
      <c r="C388" s="87"/>
      <c r="F388" s="1"/>
      <c r="N388" s="1"/>
      <c r="O388" s="1"/>
      <c r="P388" s="1"/>
      <c r="Q388" s="1"/>
    </row>
    <row r="389">
      <c r="C389" s="87"/>
      <c r="F389" s="1"/>
      <c r="N389" s="1"/>
      <c r="O389" s="1"/>
      <c r="P389" s="1"/>
      <c r="Q389" s="1"/>
    </row>
    <row r="390">
      <c r="C390" s="87"/>
      <c r="F390" s="1"/>
      <c r="N390" s="1"/>
      <c r="O390" s="1"/>
      <c r="P390" s="1"/>
      <c r="Q390" s="1"/>
    </row>
    <row r="391">
      <c r="C391" s="87"/>
      <c r="F391" s="1"/>
      <c r="N391" s="1"/>
      <c r="O391" s="1"/>
      <c r="P391" s="1"/>
      <c r="Q391" s="1"/>
    </row>
    <row r="392">
      <c r="C392" s="87"/>
      <c r="F392" s="1"/>
      <c r="N392" s="1"/>
      <c r="O392" s="1"/>
      <c r="P392" s="1"/>
      <c r="Q392" s="1"/>
    </row>
    <row r="393">
      <c r="C393" s="87"/>
      <c r="F393" s="1"/>
      <c r="N393" s="1"/>
      <c r="O393" s="1"/>
      <c r="P393" s="1"/>
      <c r="Q393" s="1"/>
    </row>
    <row r="394">
      <c r="C394" s="87"/>
      <c r="F394" s="1"/>
      <c r="N394" s="1"/>
      <c r="O394" s="1"/>
      <c r="P394" s="1"/>
      <c r="Q394" s="1"/>
    </row>
    <row r="395">
      <c r="C395" s="87"/>
      <c r="F395" s="1"/>
      <c r="N395" s="1"/>
      <c r="O395" s="1"/>
      <c r="P395" s="1"/>
      <c r="Q395" s="1"/>
    </row>
    <row r="396">
      <c r="C396" s="87"/>
      <c r="F396" s="1"/>
      <c r="N396" s="1"/>
      <c r="O396" s="1"/>
      <c r="P396" s="1"/>
      <c r="Q396" s="1"/>
    </row>
    <row r="397">
      <c r="C397" s="87"/>
      <c r="F397" s="1"/>
      <c r="N397" s="1"/>
      <c r="O397" s="1"/>
      <c r="P397" s="1"/>
      <c r="Q397" s="1"/>
    </row>
    <row r="398">
      <c r="C398" s="87"/>
      <c r="F398" s="1"/>
      <c r="N398" s="1"/>
      <c r="O398" s="1"/>
      <c r="P398" s="1"/>
      <c r="Q398" s="1"/>
    </row>
    <row r="399">
      <c r="C399" s="87"/>
      <c r="F399" s="1"/>
      <c r="N399" s="1"/>
      <c r="O399" s="1"/>
      <c r="P399" s="1"/>
      <c r="Q399" s="1"/>
    </row>
    <row r="400">
      <c r="C400" s="87"/>
      <c r="F400" s="1"/>
      <c r="N400" s="1"/>
      <c r="O400" s="1"/>
      <c r="P400" s="1"/>
      <c r="Q400" s="1"/>
    </row>
    <row r="401">
      <c r="C401" s="87"/>
      <c r="F401" s="1"/>
      <c r="N401" s="1"/>
      <c r="O401" s="1"/>
      <c r="P401" s="1"/>
      <c r="Q401" s="1"/>
    </row>
    <row r="402">
      <c r="C402" s="87"/>
      <c r="F402" s="1"/>
      <c r="N402" s="1"/>
      <c r="O402" s="1"/>
      <c r="P402" s="1"/>
      <c r="Q402" s="1"/>
    </row>
    <row r="403">
      <c r="C403" s="87"/>
      <c r="F403" s="1"/>
      <c r="N403" s="1"/>
      <c r="O403" s="1"/>
      <c r="P403" s="1"/>
      <c r="Q403" s="1"/>
    </row>
    <row r="404">
      <c r="C404" s="87"/>
      <c r="F404" s="1"/>
      <c r="N404" s="1"/>
      <c r="O404" s="1"/>
      <c r="P404" s="1"/>
      <c r="Q404" s="1"/>
    </row>
    <row r="405">
      <c r="C405" s="87"/>
      <c r="F405" s="1"/>
      <c r="N405" s="1"/>
      <c r="O405" s="1"/>
      <c r="P405" s="1"/>
      <c r="Q405" s="1"/>
    </row>
    <row r="406">
      <c r="C406" s="87"/>
      <c r="F406" s="1"/>
      <c r="N406" s="1"/>
      <c r="O406" s="1"/>
      <c r="P406" s="1"/>
      <c r="Q406" s="1"/>
    </row>
    <row r="407">
      <c r="C407" s="87"/>
      <c r="F407" s="1"/>
      <c r="N407" s="1"/>
      <c r="O407" s="1"/>
      <c r="P407" s="1"/>
      <c r="Q407" s="1"/>
    </row>
    <row r="408">
      <c r="C408" s="87"/>
      <c r="F408" s="1"/>
      <c r="N408" s="1"/>
      <c r="O408" s="1"/>
      <c r="P408" s="1"/>
      <c r="Q408" s="1"/>
    </row>
    <row r="409">
      <c r="C409" s="87"/>
      <c r="F409" s="1"/>
      <c r="N409" s="1"/>
      <c r="O409" s="1"/>
      <c r="P409" s="1"/>
      <c r="Q409" s="1"/>
    </row>
    <row r="410">
      <c r="C410" s="87"/>
      <c r="F410" s="1"/>
      <c r="N410" s="1"/>
      <c r="O410" s="1"/>
      <c r="P410" s="1"/>
      <c r="Q410" s="1"/>
    </row>
    <row r="411">
      <c r="C411" s="87"/>
      <c r="F411" s="1"/>
      <c r="N411" s="1"/>
      <c r="O411" s="1"/>
      <c r="P411" s="1"/>
      <c r="Q411" s="1"/>
    </row>
    <row r="412">
      <c r="C412" s="87"/>
      <c r="F412" s="1"/>
      <c r="N412" s="1"/>
      <c r="O412" s="1"/>
      <c r="P412" s="1"/>
      <c r="Q412" s="1"/>
    </row>
    <row r="413">
      <c r="C413" s="87"/>
      <c r="F413" s="1"/>
      <c r="N413" s="1"/>
      <c r="O413" s="1"/>
      <c r="P413" s="1"/>
      <c r="Q413" s="1"/>
    </row>
    <row r="414">
      <c r="C414" s="87"/>
      <c r="F414" s="1"/>
      <c r="N414" s="1"/>
      <c r="O414" s="1"/>
      <c r="P414" s="1"/>
      <c r="Q414" s="1"/>
    </row>
    <row r="415">
      <c r="C415" s="87"/>
      <c r="F415" s="1"/>
      <c r="N415" s="1"/>
      <c r="O415" s="1"/>
      <c r="P415" s="1"/>
      <c r="Q415" s="1"/>
    </row>
    <row r="416">
      <c r="C416" s="87"/>
      <c r="F416" s="1"/>
      <c r="N416" s="1"/>
      <c r="O416" s="1"/>
      <c r="P416" s="1"/>
      <c r="Q416" s="1"/>
    </row>
    <row r="417">
      <c r="C417" s="87"/>
      <c r="F417" s="1"/>
      <c r="N417" s="1"/>
      <c r="O417" s="1"/>
      <c r="P417" s="1"/>
      <c r="Q417" s="1"/>
    </row>
    <row r="418">
      <c r="C418" s="87"/>
      <c r="F418" s="1"/>
      <c r="N418" s="1"/>
      <c r="O418" s="1"/>
      <c r="P418" s="1"/>
      <c r="Q418" s="1"/>
    </row>
    <row r="419">
      <c r="C419" s="87"/>
      <c r="F419" s="1"/>
      <c r="N419" s="1"/>
      <c r="O419" s="1"/>
      <c r="P419" s="1"/>
      <c r="Q419" s="1"/>
    </row>
    <row r="420">
      <c r="C420" s="87"/>
      <c r="F420" s="1"/>
      <c r="N420" s="1"/>
      <c r="O420" s="1"/>
      <c r="P420" s="1"/>
      <c r="Q420" s="1"/>
    </row>
    <row r="421">
      <c r="C421" s="87"/>
      <c r="F421" s="1"/>
      <c r="N421" s="1"/>
      <c r="O421" s="1"/>
      <c r="P421" s="1"/>
      <c r="Q421" s="1"/>
    </row>
    <row r="422">
      <c r="C422" s="87"/>
      <c r="F422" s="1"/>
      <c r="N422" s="1"/>
      <c r="O422" s="1"/>
      <c r="P422" s="1"/>
      <c r="Q422" s="1"/>
    </row>
    <row r="423">
      <c r="C423" s="87"/>
      <c r="F423" s="1"/>
      <c r="N423" s="1"/>
      <c r="O423" s="1"/>
      <c r="P423" s="1"/>
      <c r="Q423" s="1"/>
    </row>
    <row r="424">
      <c r="C424" s="87"/>
      <c r="F424" s="1"/>
      <c r="N424" s="1"/>
      <c r="O424" s="1"/>
      <c r="P424" s="1"/>
      <c r="Q424" s="1"/>
    </row>
    <row r="425">
      <c r="C425" s="87"/>
      <c r="F425" s="1"/>
      <c r="N425" s="1"/>
      <c r="O425" s="1"/>
      <c r="P425" s="1"/>
      <c r="Q425" s="1"/>
    </row>
    <row r="426">
      <c r="C426" s="87"/>
      <c r="F426" s="1"/>
      <c r="N426" s="1"/>
      <c r="O426" s="1"/>
      <c r="P426" s="1"/>
      <c r="Q426" s="1"/>
    </row>
    <row r="427">
      <c r="C427" s="87"/>
      <c r="F427" s="1"/>
      <c r="N427" s="1"/>
      <c r="O427" s="1"/>
      <c r="P427" s="1"/>
      <c r="Q427" s="1"/>
    </row>
    <row r="428">
      <c r="C428" s="87"/>
      <c r="F428" s="1"/>
      <c r="N428" s="1"/>
      <c r="O428" s="1"/>
      <c r="P428" s="1"/>
      <c r="Q428" s="1"/>
    </row>
    <row r="429">
      <c r="C429" s="87"/>
      <c r="F429" s="1"/>
      <c r="N429" s="1"/>
      <c r="O429" s="1"/>
      <c r="P429" s="1"/>
      <c r="Q429" s="1"/>
    </row>
    <row r="430">
      <c r="C430" s="87"/>
      <c r="F430" s="1"/>
      <c r="N430" s="1"/>
      <c r="O430" s="1"/>
      <c r="P430" s="1"/>
      <c r="Q430" s="1"/>
    </row>
    <row r="431">
      <c r="C431" s="87"/>
      <c r="F431" s="1"/>
      <c r="N431" s="1"/>
      <c r="O431" s="1"/>
      <c r="P431" s="1"/>
      <c r="Q431" s="1"/>
    </row>
    <row r="432">
      <c r="C432" s="87"/>
      <c r="F432" s="1"/>
      <c r="N432" s="1"/>
      <c r="O432" s="1"/>
      <c r="P432" s="1"/>
      <c r="Q432" s="1"/>
    </row>
    <row r="433">
      <c r="C433" s="87"/>
      <c r="F433" s="1"/>
      <c r="N433" s="1"/>
      <c r="O433" s="1"/>
      <c r="P433" s="1"/>
      <c r="Q433" s="1"/>
    </row>
    <row r="434">
      <c r="C434" s="87"/>
      <c r="F434" s="1"/>
      <c r="N434" s="1"/>
      <c r="O434" s="1"/>
      <c r="P434" s="1"/>
      <c r="Q434" s="1"/>
    </row>
    <row r="435">
      <c r="C435" s="87"/>
      <c r="F435" s="1"/>
      <c r="N435" s="1"/>
      <c r="O435" s="1"/>
      <c r="P435" s="1"/>
      <c r="Q435" s="1"/>
    </row>
    <row r="436">
      <c r="C436" s="87"/>
      <c r="F436" s="1"/>
      <c r="N436" s="1"/>
      <c r="O436" s="1"/>
      <c r="P436" s="1"/>
      <c r="Q436" s="1"/>
    </row>
    <row r="437">
      <c r="C437" s="87"/>
      <c r="F437" s="1"/>
      <c r="N437" s="1"/>
      <c r="O437" s="1"/>
      <c r="P437" s="1"/>
      <c r="Q437" s="1"/>
    </row>
    <row r="438">
      <c r="C438" s="87"/>
      <c r="F438" s="1"/>
      <c r="N438" s="1"/>
      <c r="O438" s="1"/>
      <c r="P438" s="1"/>
      <c r="Q438" s="1"/>
    </row>
    <row r="439">
      <c r="C439" s="87"/>
      <c r="F439" s="1"/>
      <c r="N439" s="1"/>
      <c r="O439" s="1"/>
      <c r="P439" s="1"/>
      <c r="Q439" s="1"/>
    </row>
    <row r="440">
      <c r="C440" s="87"/>
      <c r="F440" s="1"/>
      <c r="N440" s="1"/>
      <c r="O440" s="1"/>
      <c r="P440" s="1"/>
      <c r="Q440" s="1"/>
    </row>
    <row r="441">
      <c r="C441" s="87"/>
      <c r="F441" s="1"/>
      <c r="N441" s="1"/>
      <c r="O441" s="1"/>
      <c r="P441" s="1"/>
      <c r="Q441" s="1"/>
    </row>
    <row r="442">
      <c r="C442" s="87"/>
      <c r="F442" s="1"/>
      <c r="N442" s="1"/>
      <c r="O442" s="1"/>
      <c r="P442" s="1"/>
      <c r="Q442" s="1"/>
    </row>
    <row r="443">
      <c r="C443" s="87"/>
      <c r="F443" s="1"/>
      <c r="N443" s="1"/>
      <c r="O443" s="1"/>
      <c r="P443" s="1"/>
      <c r="Q443" s="1"/>
    </row>
    <row r="444">
      <c r="C444" s="87"/>
      <c r="F444" s="1"/>
      <c r="N444" s="1"/>
      <c r="O444" s="1"/>
      <c r="P444" s="1"/>
      <c r="Q444" s="1"/>
    </row>
    <row r="445">
      <c r="C445" s="87"/>
      <c r="F445" s="1"/>
      <c r="N445" s="1"/>
      <c r="O445" s="1"/>
      <c r="P445" s="1"/>
      <c r="Q445" s="1"/>
    </row>
    <row r="446">
      <c r="C446" s="87"/>
      <c r="F446" s="1"/>
      <c r="N446" s="1"/>
      <c r="O446" s="1"/>
      <c r="P446" s="1"/>
      <c r="Q446" s="1"/>
    </row>
    <row r="447">
      <c r="C447" s="87"/>
      <c r="F447" s="1"/>
      <c r="N447" s="1"/>
      <c r="O447" s="1"/>
      <c r="P447" s="1"/>
      <c r="Q447" s="1"/>
    </row>
    <row r="448">
      <c r="C448" s="87"/>
      <c r="F448" s="1"/>
      <c r="N448" s="1"/>
      <c r="O448" s="1"/>
      <c r="P448" s="1"/>
      <c r="Q448" s="1"/>
    </row>
    <row r="449">
      <c r="C449" s="87"/>
      <c r="F449" s="1"/>
      <c r="N449" s="1"/>
      <c r="O449" s="1"/>
      <c r="P449" s="1"/>
      <c r="Q449" s="1"/>
    </row>
    <row r="450">
      <c r="C450" s="87"/>
      <c r="F450" s="1"/>
      <c r="N450" s="1"/>
      <c r="O450" s="1"/>
      <c r="P450" s="1"/>
      <c r="Q450" s="1"/>
    </row>
    <row r="451">
      <c r="C451" s="87"/>
      <c r="F451" s="1"/>
      <c r="N451" s="1"/>
      <c r="O451" s="1"/>
      <c r="P451" s="1"/>
      <c r="Q451" s="1"/>
    </row>
    <row r="452">
      <c r="C452" s="87"/>
      <c r="F452" s="1"/>
      <c r="N452" s="1"/>
      <c r="O452" s="1"/>
      <c r="P452" s="1"/>
      <c r="Q452" s="1"/>
    </row>
    <row r="453">
      <c r="C453" s="87"/>
      <c r="F453" s="1"/>
      <c r="N453" s="1"/>
      <c r="O453" s="1"/>
      <c r="P453" s="1"/>
      <c r="Q453" s="1"/>
    </row>
    <row r="454">
      <c r="C454" s="87"/>
      <c r="F454" s="1"/>
      <c r="N454" s="1"/>
      <c r="O454" s="1"/>
      <c r="P454" s="1"/>
      <c r="Q454" s="1"/>
    </row>
    <row r="455">
      <c r="C455" s="87"/>
      <c r="F455" s="1"/>
      <c r="N455" s="1"/>
      <c r="O455" s="1"/>
      <c r="P455" s="1"/>
      <c r="Q455" s="1"/>
    </row>
    <row r="456">
      <c r="C456" s="87"/>
      <c r="F456" s="1"/>
      <c r="N456" s="1"/>
      <c r="O456" s="1"/>
      <c r="P456" s="1"/>
      <c r="Q456" s="1"/>
    </row>
    <row r="457">
      <c r="C457" s="87"/>
      <c r="F457" s="1"/>
      <c r="N457" s="1"/>
      <c r="O457" s="1"/>
      <c r="P457" s="1"/>
      <c r="Q457" s="1"/>
    </row>
    <row r="458">
      <c r="C458" s="87"/>
      <c r="F458" s="1"/>
      <c r="N458" s="1"/>
      <c r="O458" s="1"/>
      <c r="P458" s="1"/>
      <c r="Q458" s="1"/>
    </row>
    <row r="459">
      <c r="C459" s="87"/>
      <c r="F459" s="1"/>
      <c r="N459" s="1"/>
      <c r="O459" s="1"/>
      <c r="P459" s="1"/>
      <c r="Q459" s="1"/>
    </row>
    <row r="460">
      <c r="C460" s="87"/>
      <c r="F460" s="1"/>
      <c r="N460" s="1"/>
      <c r="O460" s="1"/>
      <c r="P460" s="1"/>
      <c r="Q460" s="1"/>
    </row>
    <row r="461">
      <c r="C461" s="87"/>
      <c r="F461" s="1"/>
      <c r="N461" s="1"/>
      <c r="O461" s="1"/>
      <c r="P461" s="1"/>
      <c r="Q461" s="1"/>
    </row>
    <row r="462">
      <c r="C462" s="87"/>
      <c r="F462" s="1"/>
      <c r="N462" s="1"/>
      <c r="O462" s="1"/>
      <c r="P462" s="1"/>
      <c r="Q462" s="1"/>
    </row>
    <row r="463">
      <c r="C463" s="87"/>
      <c r="F463" s="1"/>
      <c r="N463" s="1"/>
      <c r="O463" s="1"/>
      <c r="P463" s="1"/>
      <c r="Q463" s="1"/>
    </row>
    <row r="464">
      <c r="C464" s="87"/>
      <c r="F464" s="1"/>
      <c r="N464" s="1"/>
      <c r="O464" s="1"/>
      <c r="P464" s="1"/>
      <c r="Q464" s="1"/>
    </row>
    <row r="465">
      <c r="C465" s="87"/>
      <c r="F465" s="1"/>
      <c r="N465" s="1"/>
      <c r="O465" s="1"/>
      <c r="P465" s="1"/>
      <c r="Q465" s="1"/>
    </row>
    <row r="466">
      <c r="C466" s="87"/>
      <c r="F466" s="1"/>
      <c r="N466" s="1"/>
      <c r="O466" s="1"/>
      <c r="P466" s="1"/>
      <c r="Q466" s="1"/>
    </row>
    <row r="467">
      <c r="C467" s="87"/>
      <c r="F467" s="1"/>
      <c r="N467" s="1"/>
      <c r="O467" s="1"/>
      <c r="P467" s="1"/>
      <c r="Q467" s="1"/>
    </row>
    <row r="468">
      <c r="C468" s="87"/>
      <c r="F468" s="1"/>
      <c r="N468" s="1"/>
      <c r="O468" s="1"/>
      <c r="P468" s="1"/>
      <c r="Q468" s="1"/>
    </row>
    <row r="469">
      <c r="C469" s="87"/>
      <c r="F469" s="1"/>
      <c r="N469" s="1"/>
      <c r="O469" s="1"/>
      <c r="P469" s="1"/>
      <c r="Q469" s="1"/>
    </row>
    <row r="470">
      <c r="C470" s="87"/>
      <c r="F470" s="1"/>
      <c r="N470" s="1"/>
      <c r="O470" s="1"/>
      <c r="P470" s="1"/>
      <c r="Q470" s="1"/>
    </row>
    <row r="471">
      <c r="C471" s="87"/>
      <c r="F471" s="1"/>
      <c r="N471" s="1"/>
      <c r="O471" s="1"/>
      <c r="P471" s="1"/>
      <c r="Q471" s="1"/>
    </row>
    <row r="472">
      <c r="C472" s="87"/>
      <c r="F472" s="1"/>
      <c r="N472" s="1"/>
      <c r="O472" s="1"/>
      <c r="P472" s="1"/>
      <c r="Q472" s="1"/>
    </row>
    <row r="473">
      <c r="C473" s="87"/>
      <c r="F473" s="1"/>
      <c r="N473" s="1"/>
      <c r="O473" s="1"/>
      <c r="P473" s="1"/>
      <c r="Q473" s="1"/>
    </row>
    <row r="474">
      <c r="C474" s="87"/>
      <c r="F474" s="1"/>
      <c r="N474" s="1"/>
      <c r="O474" s="1"/>
      <c r="P474" s="1"/>
      <c r="Q474" s="1"/>
    </row>
    <row r="475">
      <c r="C475" s="87"/>
      <c r="F475" s="1"/>
      <c r="N475" s="1"/>
      <c r="O475" s="1"/>
      <c r="P475" s="1"/>
      <c r="Q475" s="1"/>
    </row>
    <row r="476">
      <c r="C476" s="87"/>
      <c r="F476" s="1"/>
      <c r="N476" s="1"/>
      <c r="O476" s="1"/>
      <c r="P476" s="1"/>
      <c r="Q476" s="1"/>
    </row>
    <row r="477">
      <c r="C477" s="87"/>
      <c r="F477" s="1"/>
      <c r="N477" s="1"/>
      <c r="O477" s="1"/>
      <c r="P477" s="1"/>
      <c r="Q477" s="1"/>
    </row>
    <row r="478">
      <c r="C478" s="87"/>
      <c r="F478" s="1"/>
      <c r="N478" s="1"/>
      <c r="O478" s="1"/>
      <c r="P478" s="1"/>
      <c r="Q478" s="1"/>
    </row>
    <row r="479">
      <c r="C479" s="87"/>
      <c r="F479" s="1"/>
      <c r="N479" s="1"/>
      <c r="O479" s="1"/>
      <c r="P479" s="1"/>
      <c r="Q479" s="1"/>
    </row>
    <row r="480">
      <c r="C480" s="87"/>
      <c r="F480" s="1"/>
      <c r="N480" s="1"/>
      <c r="O480" s="1"/>
      <c r="P480" s="1"/>
      <c r="Q480" s="1"/>
    </row>
    <row r="481">
      <c r="C481" s="87"/>
      <c r="F481" s="1"/>
      <c r="N481" s="1"/>
      <c r="O481" s="1"/>
      <c r="P481" s="1"/>
      <c r="Q481" s="1"/>
    </row>
    <row r="482">
      <c r="C482" s="87"/>
      <c r="F482" s="1"/>
      <c r="N482" s="1"/>
      <c r="O482" s="1"/>
      <c r="P482" s="1"/>
      <c r="Q482" s="1"/>
    </row>
    <row r="483">
      <c r="C483" s="87"/>
      <c r="F483" s="1"/>
      <c r="N483" s="1"/>
      <c r="O483" s="1"/>
      <c r="P483" s="1"/>
      <c r="Q483" s="1"/>
    </row>
    <row r="484">
      <c r="C484" s="87"/>
      <c r="F484" s="1"/>
      <c r="N484" s="1"/>
      <c r="O484" s="1"/>
      <c r="P484" s="1"/>
      <c r="Q484" s="1"/>
    </row>
    <row r="485">
      <c r="C485" s="87"/>
      <c r="F485" s="1"/>
      <c r="N485" s="1"/>
      <c r="O485" s="1"/>
      <c r="P485" s="1"/>
      <c r="Q485" s="1"/>
    </row>
    <row r="486">
      <c r="C486" s="87"/>
      <c r="F486" s="1"/>
      <c r="N486" s="1"/>
      <c r="O486" s="1"/>
      <c r="P486" s="1"/>
      <c r="Q486" s="1"/>
    </row>
    <row r="487">
      <c r="C487" s="87"/>
      <c r="F487" s="1"/>
      <c r="N487" s="1"/>
      <c r="O487" s="1"/>
      <c r="P487" s="1"/>
      <c r="Q487" s="1"/>
    </row>
    <row r="488">
      <c r="C488" s="87"/>
      <c r="F488" s="1"/>
      <c r="N488" s="1"/>
      <c r="O488" s="1"/>
      <c r="P488" s="1"/>
      <c r="Q488" s="1"/>
    </row>
    <row r="489">
      <c r="C489" s="87"/>
      <c r="F489" s="1"/>
      <c r="N489" s="1"/>
      <c r="O489" s="1"/>
      <c r="P489" s="1"/>
      <c r="Q489" s="1"/>
    </row>
    <row r="490">
      <c r="C490" s="87"/>
      <c r="F490" s="1"/>
      <c r="N490" s="1"/>
      <c r="O490" s="1"/>
      <c r="P490" s="1"/>
      <c r="Q490" s="1"/>
    </row>
    <row r="491">
      <c r="C491" s="87"/>
      <c r="F491" s="1"/>
      <c r="N491" s="1"/>
      <c r="O491" s="1"/>
      <c r="P491" s="1"/>
      <c r="Q491" s="1"/>
    </row>
    <row r="492">
      <c r="C492" s="87"/>
      <c r="F492" s="1"/>
      <c r="N492" s="1"/>
      <c r="O492" s="1"/>
      <c r="P492" s="1"/>
      <c r="Q492" s="1"/>
    </row>
    <row r="493">
      <c r="C493" s="87"/>
      <c r="F493" s="1"/>
      <c r="N493" s="1"/>
      <c r="O493" s="1"/>
      <c r="P493" s="1"/>
      <c r="Q493" s="1"/>
    </row>
    <row r="494">
      <c r="C494" s="87"/>
      <c r="F494" s="1"/>
      <c r="N494" s="1"/>
      <c r="O494" s="1"/>
      <c r="P494" s="1"/>
      <c r="Q494" s="1"/>
    </row>
    <row r="495">
      <c r="C495" s="87"/>
      <c r="F495" s="1"/>
      <c r="N495" s="1"/>
      <c r="O495" s="1"/>
      <c r="P495" s="1"/>
      <c r="Q495" s="1"/>
    </row>
    <row r="496">
      <c r="C496" s="87"/>
      <c r="F496" s="1"/>
      <c r="N496" s="1"/>
      <c r="O496" s="1"/>
      <c r="P496" s="1"/>
      <c r="Q496" s="1"/>
    </row>
    <row r="497">
      <c r="C497" s="87"/>
      <c r="F497" s="1"/>
      <c r="N497" s="1"/>
      <c r="O497" s="1"/>
      <c r="P497" s="1"/>
      <c r="Q497" s="1"/>
    </row>
    <row r="498">
      <c r="C498" s="87"/>
      <c r="F498" s="1"/>
      <c r="N498" s="1"/>
      <c r="O498" s="1"/>
      <c r="P498" s="1"/>
      <c r="Q498" s="1"/>
    </row>
    <row r="499">
      <c r="C499" s="87"/>
      <c r="F499" s="1"/>
      <c r="N499" s="1"/>
      <c r="O499" s="1"/>
      <c r="P499" s="1"/>
      <c r="Q499" s="1"/>
    </row>
    <row r="500">
      <c r="C500" s="87"/>
      <c r="F500" s="1"/>
      <c r="N500" s="1"/>
      <c r="O500" s="1"/>
      <c r="P500" s="1"/>
      <c r="Q500" s="1"/>
    </row>
    <row r="501">
      <c r="C501" s="87"/>
      <c r="F501" s="1"/>
      <c r="N501" s="1"/>
      <c r="O501" s="1"/>
      <c r="P501" s="1"/>
      <c r="Q501" s="1"/>
    </row>
    <row r="502">
      <c r="C502" s="87"/>
      <c r="F502" s="1"/>
      <c r="N502" s="1"/>
      <c r="O502" s="1"/>
      <c r="P502" s="1"/>
      <c r="Q502" s="1"/>
    </row>
    <row r="503">
      <c r="C503" s="87"/>
      <c r="F503" s="1"/>
      <c r="N503" s="1"/>
      <c r="O503" s="1"/>
      <c r="P503" s="1"/>
      <c r="Q503" s="1"/>
    </row>
    <row r="504">
      <c r="C504" s="87"/>
      <c r="F504" s="1"/>
      <c r="N504" s="1"/>
      <c r="O504" s="1"/>
      <c r="P504" s="1"/>
      <c r="Q504" s="1"/>
    </row>
    <row r="505">
      <c r="C505" s="87"/>
      <c r="F505" s="1"/>
      <c r="N505" s="1"/>
      <c r="O505" s="1"/>
      <c r="P505" s="1"/>
      <c r="Q505" s="1"/>
    </row>
    <row r="506">
      <c r="C506" s="87"/>
      <c r="F506" s="1"/>
      <c r="N506" s="1"/>
      <c r="O506" s="1"/>
      <c r="P506" s="1"/>
      <c r="Q506" s="1"/>
    </row>
    <row r="507">
      <c r="C507" s="87"/>
      <c r="F507" s="1"/>
      <c r="N507" s="1"/>
      <c r="O507" s="1"/>
      <c r="P507" s="1"/>
      <c r="Q507" s="1"/>
    </row>
    <row r="508">
      <c r="C508" s="87"/>
      <c r="F508" s="1"/>
      <c r="N508" s="1"/>
      <c r="O508" s="1"/>
      <c r="P508" s="1"/>
      <c r="Q508" s="1"/>
    </row>
    <row r="509">
      <c r="C509" s="87"/>
      <c r="F509" s="1"/>
      <c r="N509" s="1"/>
      <c r="O509" s="1"/>
      <c r="P509" s="1"/>
      <c r="Q509" s="1"/>
    </row>
    <row r="510">
      <c r="C510" s="87"/>
      <c r="F510" s="1"/>
      <c r="N510" s="1"/>
      <c r="O510" s="1"/>
      <c r="P510" s="1"/>
      <c r="Q510" s="1"/>
    </row>
    <row r="511">
      <c r="C511" s="87"/>
      <c r="F511" s="1"/>
      <c r="N511" s="1"/>
      <c r="O511" s="1"/>
      <c r="P511" s="1"/>
      <c r="Q511" s="1"/>
    </row>
    <row r="512">
      <c r="C512" s="87"/>
      <c r="F512" s="1"/>
      <c r="N512" s="1"/>
      <c r="O512" s="1"/>
      <c r="P512" s="1"/>
      <c r="Q512" s="1"/>
    </row>
    <row r="513">
      <c r="C513" s="87"/>
      <c r="F513" s="1"/>
      <c r="N513" s="1"/>
      <c r="O513" s="1"/>
      <c r="P513" s="1"/>
      <c r="Q513" s="1"/>
    </row>
    <row r="514">
      <c r="C514" s="87"/>
      <c r="F514" s="1"/>
      <c r="N514" s="1"/>
      <c r="O514" s="1"/>
      <c r="P514" s="1"/>
      <c r="Q514" s="1"/>
    </row>
    <row r="515">
      <c r="C515" s="87"/>
      <c r="F515" s="1"/>
      <c r="N515" s="1"/>
      <c r="O515" s="1"/>
      <c r="P515" s="1"/>
      <c r="Q515" s="1"/>
    </row>
    <row r="516">
      <c r="C516" s="87"/>
      <c r="F516" s="1"/>
      <c r="N516" s="1"/>
      <c r="O516" s="1"/>
      <c r="P516" s="1"/>
      <c r="Q516" s="1"/>
    </row>
    <row r="517">
      <c r="C517" s="87"/>
      <c r="F517" s="1"/>
      <c r="N517" s="1"/>
      <c r="O517" s="1"/>
      <c r="P517" s="1"/>
      <c r="Q517" s="1"/>
    </row>
    <row r="518">
      <c r="C518" s="87"/>
      <c r="F518" s="1"/>
      <c r="N518" s="1"/>
      <c r="O518" s="1"/>
      <c r="P518" s="1"/>
      <c r="Q518" s="1"/>
    </row>
    <row r="519">
      <c r="C519" s="87"/>
      <c r="F519" s="1"/>
      <c r="N519" s="1"/>
      <c r="O519" s="1"/>
      <c r="P519" s="1"/>
      <c r="Q519" s="1"/>
    </row>
    <row r="520">
      <c r="C520" s="87"/>
      <c r="F520" s="1"/>
      <c r="N520" s="1"/>
      <c r="O520" s="1"/>
      <c r="P520" s="1"/>
      <c r="Q520" s="1"/>
    </row>
    <row r="521">
      <c r="C521" s="87"/>
      <c r="F521" s="1"/>
      <c r="N521" s="1"/>
      <c r="O521" s="1"/>
      <c r="P521" s="1"/>
      <c r="Q521" s="1"/>
    </row>
    <row r="522">
      <c r="C522" s="87"/>
      <c r="F522" s="1"/>
      <c r="N522" s="1"/>
      <c r="O522" s="1"/>
      <c r="P522" s="1"/>
      <c r="Q522" s="1"/>
    </row>
    <row r="523">
      <c r="C523" s="87"/>
      <c r="F523" s="1"/>
      <c r="N523" s="1"/>
      <c r="O523" s="1"/>
      <c r="P523" s="1"/>
      <c r="Q523" s="1"/>
    </row>
    <row r="524">
      <c r="C524" s="87"/>
      <c r="F524" s="1"/>
      <c r="N524" s="1"/>
      <c r="O524" s="1"/>
      <c r="P524" s="1"/>
      <c r="Q524" s="1"/>
    </row>
    <row r="525">
      <c r="C525" s="87"/>
      <c r="F525" s="1"/>
      <c r="N525" s="1"/>
      <c r="O525" s="1"/>
      <c r="P525" s="1"/>
      <c r="Q525" s="1"/>
    </row>
    <row r="526">
      <c r="C526" s="87"/>
      <c r="F526" s="1"/>
      <c r="N526" s="1"/>
      <c r="O526" s="1"/>
      <c r="P526" s="1"/>
      <c r="Q526" s="1"/>
    </row>
    <row r="527">
      <c r="C527" s="87"/>
      <c r="F527" s="1"/>
      <c r="N527" s="1"/>
      <c r="O527" s="1"/>
      <c r="P527" s="1"/>
      <c r="Q527" s="1"/>
    </row>
    <row r="528">
      <c r="C528" s="87"/>
      <c r="F528" s="1"/>
      <c r="N528" s="1"/>
      <c r="O528" s="1"/>
      <c r="P528" s="1"/>
      <c r="Q528" s="1"/>
    </row>
    <row r="529">
      <c r="C529" s="87"/>
      <c r="F529" s="1"/>
      <c r="N529" s="1"/>
      <c r="O529" s="1"/>
      <c r="P529" s="1"/>
      <c r="Q529" s="1"/>
    </row>
    <row r="530">
      <c r="C530" s="87"/>
      <c r="F530" s="1"/>
      <c r="N530" s="1"/>
      <c r="O530" s="1"/>
      <c r="P530" s="1"/>
      <c r="Q530" s="1"/>
    </row>
    <row r="531">
      <c r="C531" s="87"/>
      <c r="F531" s="1"/>
      <c r="N531" s="1"/>
      <c r="O531" s="1"/>
      <c r="P531" s="1"/>
      <c r="Q531" s="1"/>
    </row>
    <row r="532">
      <c r="C532" s="87"/>
      <c r="F532" s="1"/>
      <c r="N532" s="1"/>
      <c r="O532" s="1"/>
      <c r="P532" s="1"/>
      <c r="Q532" s="1"/>
    </row>
    <row r="533">
      <c r="C533" s="87"/>
      <c r="F533" s="1"/>
      <c r="N533" s="1"/>
      <c r="O533" s="1"/>
      <c r="P533" s="1"/>
      <c r="Q533" s="1"/>
    </row>
    <row r="534">
      <c r="C534" s="87"/>
      <c r="F534" s="1"/>
      <c r="N534" s="1"/>
      <c r="O534" s="1"/>
      <c r="P534" s="1"/>
      <c r="Q534" s="1"/>
    </row>
    <row r="535">
      <c r="C535" s="87"/>
      <c r="F535" s="1"/>
      <c r="N535" s="1"/>
      <c r="O535" s="1"/>
      <c r="P535" s="1"/>
      <c r="Q535" s="1"/>
    </row>
    <row r="536">
      <c r="C536" s="87"/>
      <c r="F536" s="1"/>
      <c r="N536" s="1"/>
      <c r="O536" s="1"/>
      <c r="P536" s="1"/>
      <c r="Q536" s="1"/>
    </row>
    <row r="537">
      <c r="C537" s="87"/>
      <c r="F537" s="1"/>
      <c r="N537" s="1"/>
      <c r="O537" s="1"/>
      <c r="P537" s="1"/>
      <c r="Q537" s="1"/>
    </row>
    <row r="538">
      <c r="C538" s="87"/>
      <c r="F538" s="1"/>
      <c r="N538" s="1"/>
      <c r="O538" s="1"/>
      <c r="P538" s="1"/>
      <c r="Q538" s="1"/>
    </row>
    <row r="539">
      <c r="C539" s="87"/>
      <c r="F539" s="1"/>
      <c r="N539" s="1"/>
      <c r="O539" s="1"/>
      <c r="P539" s="1"/>
      <c r="Q539" s="1"/>
    </row>
    <row r="540">
      <c r="C540" s="87"/>
      <c r="F540" s="1"/>
      <c r="N540" s="1"/>
      <c r="O540" s="1"/>
      <c r="P540" s="1"/>
      <c r="Q540" s="1"/>
    </row>
    <row r="541">
      <c r="C541" s="87"/>
      <c r="F541" s="1"/>
      <c r="N541" s="1"/>
      <c r="O541" s="1"/>
      <c r="P541" s="1"/>
      <c r="Q541" s="1"/>
    </row>
    <row r="542">
      <c r="C542" s="87"/>
      <c r="F542" s="1"/>
      <c r="N542" s="1"/>
      <c r="O542" s="1"/>
      <c r="P542" s="1"/>
      <c r="Q542" s="1"/>
    </row>
    <row r="543">
      <c r="C543" s="87"/>
      <c r="F543" s="1"/>
      <c r="N543" s="1"/>
      <c r="O543" s="1"/>
      <c r="P543" s="1"/>
      <c r="Q543" s="1"/>
    </row>
    <row r="544">
      <c r="C544" s="87"/>
      <c r="F544" s="1"/>
      <c r="N544" s="1"/>
      <c r="O544" s="1"/>
      <c r="P544" s="1"/>
      <c r="Q544" s="1"/>
    </row>
    <row r="545">
      <c r="C545" s="87"/>
      <c r="F545" s="1"/>
      <c r="N545" s="1"/>
      <c r="O545" s="1"/>
      <c r="P545" s="1"/>
      <c r="Q545" s="1"/>
    </row>
    <row r="546">
      <c r="C546" s="87"/>
      <c r="F546" s="1"/>
      <c r="N546" s="1"/>
      <c r="O546" s="1"/>
      <c r="P546" s="1"/>
      <c r="Q546" s="1"/>
    </row>
    <row r="547">
      <c r="C547" s="87"/>
      <c r="F547" s="1"/>
      <c r="N547" s="1"/>
      <c r="O547" s="1"/>
      <c r="P547" s="1"/>
      <c r="Q547" s="1"/>
    </row>
    <row r="548">
      <c r="C548" s="87"/>
      <c r="F548" s="1"/>
      <c r="N548" s="1"/>
      <c r="O548" s="1"/>
      <c r="P548" s="1"/>
      <c r="Q548" s="1"/>
    </row>
    <row r="549">
      <c r="C549" s="87"/>
      <c r="F549" s="1"/>
      <c r="N549" s="1"/>
      <c r="O549" s="1"/>
      <c r="P549" s="1"/>
      <c r="Q549" s="1"/>
    </row>
    <row r="550">
      <c r="C550" s="87"/>
      <c r="F550" s="1"/>
      <c r="N550" s="1"/>
      <c r="O550" s="1"/>
      <c r="P550" s="1"/>
      <c r="Q550" s="1"/>
    </row>
    <row r="551">
      <c r="C551" s="87"/>
      <c r="F551" s="1"/>
      <c r="N551" s="1"/>
      <c r="O551" s="1"/>
      <c r="P551" s="1"/>
      <c r="Q551" s="1"/>
    </row>
    <row r="552">
      <c r="C552" s="87"/>
      <c r="F552" s="1"/>
      <c r="N552" s="1"/>
      <c r="O552" s="1"/>
      <c r="P552" s="1"/>
      <c r="Q552" s="1"/>
    </row>
    <row r="553">
      <c r="C553" s="87"/>
      <c r="F553" s="1"/>
      <c r="N553" s="1"/>
      <c r="O553" s="1"/>
      <c r="P553" s="1"/>
      <c r="Q553" s="1"/>
    </row>
    <row r="554">
      <c r="C554" s="87"/>
      <c r="F554" s="1"/>
      <c r="N554" s="1"/>
      <c r="O554" s="1"/>
      <c r="P554" s="1"/>
      <c r="Q554" s="1"/>
    </row>
    <row r="555">
      <c r="C555" s="87"/>
      <c r="F555" s="1"/>
      <c r="N555" s="1"/>
      <c r="O555" s="1"/>
      <c r="P555" s="1"/>
      <c r="Q555" s="1"/>
    </row>
    <row r="556">
      <c r="C556" s="87"/>
      <c r="F556" s="1"/>
      <c r="N556" s="1"/>
      <c r="O556" s="1"/>
      <c r="P556" s="1"/>
      <c r="Q556" s="1"/>
    </row>
    <row r="557">
      <c r="C557" s="87"/>
      <c r="F557" s="1"/>
      <c r="N557" s="1"/>
      <c r="O557" s="1"/>
      <c r="P557" s="1"/>
      <c r="Q557" s="1"/>
    </row>
    <row r="558">
      <c r="C558" s="87"/>
      <c r="F558" s="1"/>
      <c r="N558" s="1"/>
      <c r="O558" s="1"/>
      <c r="P558" s="1"/>
      <c r="Q558" s="1"/>
    </row>
    <row r="559">
      <c r="C559" s="87"/>
      <c r="F559" s="1"/>
      <c r="N559" s="1"/>
      <c r="O559" s="1"/>
      <c r="P559" s="1"/>
      <c r="Q559" s="1"/>
    </row>
    <row r="560">
      <c r="C560" s="87"/>
      <c r="F560" s="1"/>
      <c r="N560" s="1"/>
      <c r="O560" s="1"/>
      <c r="P560" s="1"/>
      <c r="Q560" s="1"/>
    </row>
    <row r="561">
      <c r="C561" s="87"/>
      <c r="F561" s="1"/>
      <c r="N561" s="1"/>
      <c r="O561" s="1"/>
      <c r="P561" s="1"/>
      <c r="Q561" s="1"/>
    </row>
    <row r="562">
      <c r="C562" s="87"/>
      <c r="F562" s="1"/>
      <c r="N562" s="1"/>
      <c r="O562" s="1"/>
      <c r="P562" s="1"/>
      <c r="Q562" s="1"/>
    </row>
    <row r="563">
      <c r="C563" s="87"/>
      <c r="F563" s="1"/>
      <c r="N563" s="1"/>
      <c r="O563" s="1"/>
      <c r="P563" s="1"/>
      <c r="Q563" s="1"/>
    </row>
    <row r="564">
      <c r="C564" s="87"/>
      <c r="F564" s="1"/>
      <c r="N564" s="1"/>
      <c r="O564" s="1"/>
      <c r="P564" s="1"/>
      <c r="Q564" s="1"/>
    </row>
    <row r="565">
      <c r="C565" s="87"/>
      <c r="F565" s="1"/>
      <c r="N565" s="1"/>
      <c r="O565" s="1"/>
      <c r="P565" s="1"/>
      <c r="Q565" s="1"/>
    </row>
    <row r="566">
      <c r="C566" s="87"/>
      <c r="F566" s="1"/>
      <c r="N566" s="1"/>
      <c r="O566" s="1"/>
      <c r="P566" s="1"/>
      <c r="Q566" s="1"/>
    </row>
    <row r="567">
      <c r="C567" s="87"/>
      <c r="F567" s="1"/>
      <c r="N567" s="1"/>
      <c r="O567" s="1"/>
      <c r="P567" s="1"/>
      <c r="Q567" s="1"/>
    </row>
    <row r="568">
      <c r="C568" s="87"/>
      <c r="F568" s="1"/>
      <c r="N568" s="1"/>
      <c r="O568" s="1"/>
      <c r="P568" s="1"/>
      <c r="Q568" s="1"/>
    </row>
    <row r="569">
      <c r="C569" s="87"/>
      <c r="F569" s="1"/>
      <c r="N569" s="1"/>
      <c r="O569" s="1"/>
      <c r="P569" s="1"/>
      <c r="Q569" s="1"/>
    </row>
    <row r="570">
      <c r="C570" s="87"/>
      <c r="F570" s="1"/>
      <c r="N570" s="1"/>
      <c r="O570" s="1"/>
      <c r="P570" s="1"/>
      <c r="Q570" s="1"/>
    </row>
    <row r="571">
      <c r="C571" s="87"/>
      <c r="F571" s="1"/>
      <c r="N571" s="1"/>
      <c r="O571" s="1"/>
      <c r="P571" s="1"/>
      <c r="Q571" s="1"/>
    </row>
    <row r="572">
      <c r="C572" s="87"/>
      <c r="F572" s="1"/>
      <c r="N572" s="1"/>
      <c r="O572" s="1"/>
      <c r="P572" s="1"/>
      <c r="Q572" s="1"/>
    </row>
    <row r="573">
      <c r="C573" s="87"/>
      <c r="F573" s="1"/>
      <c r="N573" s="1"/>
      <c r="O573" s="1"/>
      <c r="P573" s="1"/>
      <c r="Q573" s="1"/>
    </row>
    <row r="574">
      <c r="C574" s="87"/>
      <c r="F574" s="1"/>
      <c r="N574" s="1"/>
      <c r="O574" s="1"/>
      <c r="P574" s="1"/>
      <c r="Q574" s="1"/>
    </row>
    <row r="575">
      <c r="C575" s="87"/>
      <c r="F575" s="1"/>
      <c r="N575" s="1"/>
      <c r="O575" s="1"/>
      <c r="P575" s="1"/>
      <c r="Q575" s="1"/>
    </row>
    <row r="576">
      <c r="C576" s="87"/>
      <c r="F576" s="1"/>
      <c r="N576" s="1"/>
      <c r="O576" s="1"/>
      <c r="P576" s="1"/>
      <c r="Q576" s="1"/>
    </row>
    <row r="577">
      <c r="C577" s="87"/>
      <c r="F577" s="1"/>
      <c r="N577" s="1"/>
      <c r="O577" s="1"/>
      <c r="P577" s="1"/>
      <c r="Q577" s="1"/>
    </row>
    <row r="578">
      <c r="C578" s="87"/>
      <c r="F578" s="1"/>
      <c r="N578" s="1"/>
      <c r="O578" s="1"/>
      <c r="P578" s="1"/>
      <c r="Q578" s="1"/>
    </row>
    <row r="579">
      <c r="C579" s="87"/>
      <c r="F579" s="1"/>
      <c r="N579" s="1"/>
      <c r="O579" s="1"/>
      <c r="P579" s="1"/>
      <c r="Q579" s="1"/>
    </row>
    <row r="580">
      <c r="C580" s="87"/>
      <c r="F580" s="1"/>
      <c r="N580" s="1"/>
      <c r="O580" s="1"/>
      <c r="P580" s="1"/>
      <c r="Q580" s="1"/>
    </row>
    <row r="581">
      <c r="C581" s="87"/>
      <c r="F581" s="1"/>
      <c r="N581" s="1"/>
      <c r="O581" s="1"/>
      <c r="P581" s="1"/>
      <c r="Q581" s="1"/>
    </row>
    <row r="582">
      <c r="C582" s="87"/>
      <c r="F582" s="1"/>
      <c r="N582" s="1"/>
      <c r="O582" s="1"/>
      <c r="P582" s="1"/>
      <c r="Q582" s="1"/>
    </row>
    <row r="583">
      <c r="C583" s="87"/>
      <c r="F583" s="1"/>
      <c r="N583" s="1"/>
      <c r="O583" s="1"/>
      <c r="P583" s="1"/>
      <c r="Q583" s="1"/>
    </row>
    <row r="584">
      <c r="C584" s="87"/>
      <c r="F584" s="1"/>
      <c r="N584" s="1"/>
      <c r="O584" s="1"/>
      <c r="P584" s="1"/>
      <c r="Q584" s="1"/>
    </row>
    <row r="585">
      <c r="C585" s="87"/>
      <c r="F585" s="1"/>
      <c r="N585" s="1"/>
      <c r="O585" s="1"/>
      <c r="P585" s="1"/>
      <c r="Q585" s="1"/>
    </row>
    <row r="586">
      <c r="C586" s="87"/>
      <c r="F586" s="1"/>
      <c r="N586" s="1"/>
      <c r="O586" s="1"/>
      <c r="P586" s="1"/>
      <c r="Q586" s="1"/>
    </row>
    <row r="587">
      <c r="C587" s="87"/>
      <c r="F587" s="1"/>
      <c r="N587" s="1"/>
      <c r="O587" s="1"/>
      <c r="P587" s="1"/>
      <c r="Q587" s="1"/>
    </row>
    <row r="588">
      <c r="C588" s="87"/>
      <c r="F588" s="1"/>
      <c r="N588" s="1"/>
      <c r="O588" s="1"/>
      <c r="P588" s="1"/>
      <c r="Q588" s="1"/>
    </row>
    <row r="589">
      <c r="C589" s="87"/>
      <c r="F589" s="1"/>
      <c r="N589" s="1"/>
      <c r="O589" s="1"/>
      <c r="P589" s="1"/>
      <c r="Q589" s="1"/>
    </row>
    <row r="590">
      <c r="C590" s="87"/>
      <c r="F590" s="1"/>
      <c r="N590" s="1"/>
      <c r="O590" s="1"/>
      <c r="P590" s="1"/>
      <c r="Q590" s="1"/>
    </row>
    <row r="591">
      <c r="C591" s="87"/>
      <c r="F591" s="1"/>
      <c r="N591" s="1"/>
      <c r="O591" s="1"/>
      <c r="P591" s="1"/>
      <c r="Q591" s="1"/>
    </row>
    <row r="592">
      <c r="C592" s="87"/>
      <c r="F592" s="1"/>
      <c r="N592" s="1"/>
      <c r="O592" s="1"/>
      <c r="P592" s="1"/>
      <c r="Q592" s="1"/>
    </row>
    <row r="593">
      <c r="C593" s="87"/>
      <c r="F593" s="1"/>
      <c r="N593" s="1"/>
      <c r="O593" s="1"/>
      <c r="P593" s="1"/>
      <c r="Q593" s="1"/>
    </row>
    <row r="594">
      <c r="C594" s="87"/>
      <c r="F594" s="1"/>
      <c r="N594" s="1"/>
      <c r="O594" s="1"/>
      <c r="P594" s="1"/>
      <c r="Q594" s="1"/>
    </row>
    <row r="595">
      <c r="C595" s="87"/>
      <c r="F595" s="1"/>
      <c r="N595" s="1"/>
      <c r="O595" s="1"/>
      <c r="P595" s="1"/>
      <c r="Q595" s="1"/>
    </row>
    <row r="596">
      <c r="C596" s="87"/>
      <c r="F596" s="1"/>
      <c r="N596" s="1"/>
      <c r="O596" s="1"/>
      <c r="P596" s="1"/>
      <c r="Q596" s="1"/>
    </row>
    <row r="597">
      <c r="C597" s="87"/>
      <c r="F597" s="1"/>
      <c r="N597" s="1"/>
      <c r="O597" s="1"/>
      <c r="P597" s="1"/>
      <c r="Q597" s="1"/>
    </row>
    <row r="598">
      <c r="C598" s="87"/>
      <c r="F598" s="1"/>
      <c r="N598" s="1"/>
      <c r="O598" s="1"/>
      <c r="P598" s="1"/>
      <c r="Q598" s="1"/>
    </row>
    <row r="599">
      <c r="C599" s="87"/>
      <c r="F599" s="1"/>
      <c r="N599" s="1"/>
      <c r="O599" s="1"/>
      <c r="P599" s="1"/>
      <c r="Q599" s="1"/>
    </row>
    <row r="600">
      <c r="C600" s="87"/>
      <c r="F600" s="1"/>
      <c r="N600" s="1"/>
      <c r="O600" s="1"/>
      <c r="P600" s="1"/>
      <c r="Q600" s="1"/>
    </row>
    <row r="601">
      <c r="C601" s="87"/>
      <c r="F601" s="1"/>
      <c r="N601" s="1"/>
      <c r="O601" s="1"/>
      <c r="P601" s="1"/>
      <c r="Q601" s="1"/>
    </row>
    <row r="602">
      <c r="C602" s="87"/>
      <c r="F602" s="1"/>
      <c r="N602" s="1"/>
      <c r="O602" s="1"/>
      <c r="P602" s="1"/>
      <c r="Q602" s="1"/>
    </row>
    <row r="603">
      <c r="C603" s="87"/>
      <c r="F603" s="1"/>
      <c r="N603" s="1"/>
      <c r="O603" s="1"/>
      <c r="P603" s="1"/>
      <c r="Q603" s="1"/>
    </row>
    <row r="604">
      <c r="C604" s="87"/>
      <c r="F604" s="1"/>
      <c r="N604" s="1"/>
      <c r="O604" s="1"/>
      <c r="P604" s="1"/>
      <c r="Q604" s="1"/>
    </row>
    <row r="605">
      <c r="C605" s="87"/>
      <c r="F605" s="1"/>
      <c r="N605" s="1"/>
      <c r="O605" s="1"/>
      <c r="P605" s="1"/>
      <c r="Q605" s="1"/>
    </row>
    <row r="606">
      <c r="C606" s="87"/>
      <c r="F606" s="1"/>
      <c r="N606" s="1"/>
      <c r="O606" s="1"/>
      <c r="P606" s="1"/>
      <c r="Q606" s="1"/>
    </row>
    <row r="607">
      <c r="C607" s="87"/>
      <c r="F607" s="1"/>
      <c r="N607" s="1"/>
      <c r="O607" s="1"/>
      <c r="P607" s="1"/>
      <c r="Q607" s="1"/>
    </row>
    <row r="608">
      <c r="C608" s="87"/>
      <c r="F608" s="1"/>
      <c r="N608" s="1"/>
      <c r="O608" s="1"/>
      <c r="P608" s="1"/>
      <c r="Q608" s="1"/>
    </row>
    <row r="609">
      <c r="C609" s="87"/>
      <c r="F609" s="1"/>
      <c r="N609" s="1"/>
      <c r="O609" s="1"/>
      <c r="P609" s="1"/>
      <c r="Q609" s="1"/>
    </row>
    <row r="610">
      <c r="C610" s="87"/>
      <c r="F610" s="1"/>
      <c r="N610" s="1"/>
      <c r="O610" s="1"/>
      <c r="P610" s="1"/>
      <c r="Q610" s="1"/>
    </row>
    <row r="611">
      <c r="C611" s="87"/>
      <c r="F611" s="1"/>
      <c r="N611" s="1"/>
      <c r="O611" s="1"/>
      <c r="P611" s="1"/>
      <c r="Q611" s="1"/>
    </row>
    <row r="612">
      <c r="C612" s="87"/>
      <c r="F612" s="1"/>
      <c r="N612" s="1"/>
      <c r="O612" s="1"/>
      <c r="P612" s="1"/>
      <c r="Q612" s="1"/>
    </row>
    <row r="613">
      <c r="C613" s="87"/>
      <c r="F613" s="1"/>
      <c r="N613" s="1"/>
      <c r="O613" s="1"/>
      <c r="P613" s="1"/>
      <c r="Q613" s="1"/>
    </row>
    <row r="614">
      <c r="C614" s="87"/>
      <c r="F614" s="1"/>
      <c r="N614" s="1"/>
      <c r="O614" s="1"/>
      <c r="P614" s="1"/>
      <c r="Q614" s="1"/>
    </row>
    <row r="615">
      <c r="C615" s="87"/>
      <c r="F615" s="1"/>
      <c r="N615" s="1"/>
      <c r="O615" s="1"/>
      <c r="P615" s="1"/>
      <c r="Q615" s="1"/>
    </row>
    <row r="616">
      <c r="C616" s="87"/>
      <c r="F616" s="1"/>
      <c r="N616" s="1"/>
      <c r="O616" s="1"/>
      <c r="P616" s="1"/>
      <c r="Q616" s="1"/>
    </row>
    <row r="617">
      <c r="C617" s="87"/>
      <c r="F617" s="1"/>
      <c r="N617" s="1"/>
      <c r="O617" s="1"/>
      <c r="P617" s="1"/>
      <c r="Q617" s="1"/>
    </row>
    <row r="618">
      <c r="C618" s="87"/>
      <c r="F618" s="1"/>
      <c r="N618" s="1"/>
      <c r="O618" s="1"/>
      <c r="P618" s="1"/>
      <c r="Q618" s="1"/>
    </row>
    <row r="619">
      <c r="C619" s="87"/>
      <c r="F619" s="1"/>
      <c r="N619" s="1"/>
      <c r="O619" s="1"/>
      <c r="P619" s="1"/>
      <c r="Q619" s="1"/>
    </row>
    <row r="620">
      <c r="C620" s="87"/>
      <c r="F620" s="1"/>
      <c r="N620" s="1"/>
      <c r="O620" s="1"/>
      <c r="P620" s="1"/>
      <c r="Q620" s="1"/>
    </row>
    <row r="621">
      <c r="C621" s="87"/>
      <c r="F621" s="1"/>
      <c r="N621" s="1"/>
      <c r="O621" s="1"/>
      <c r="P621" s="1"/>
      <c r="Q621" s="1"/>
    </row>
    <row r="622">
      <c r="C622" s="87"/>
      <c r="F622" s="1"/>
      <c r="N622" s="1"/>
      <c r="O622" s="1"/>
      <c r="P622" s="1"/>
      <c r="Q622" s="1"/>
    </row>
    <row r="623">
      <c r="C623" s="87"/>
      <c r="F623" s="1"/>
      <c r="N623" s="1"/>
      <c r="O623" s="1"/>
      <c r="P623" s="1"/>
      <c r="Q623" s="1"/>
    </row>
    <row r="624">
      <c r="C624" s="87"/>
      <c r="F624" s="1"/>
      <c r="N624" s="1"/>
      <c r="O624" s="1"/>
      <c r="P624" s="1"/>
      <c r="Q624" s="1"/>
    </row>
    <row r="625">
      <c r="C625" s="87"/>
      <c r="F625" s="1"/>
      <c r="N625" s="1"/>
      <c r="O625" s="1"/>
      <c r="P625" s="1"/>
      <c r="Q625" s="1"/>
    </row>
    <row r="626">
      <c r="C626" s="87"/>
      <c r="F626" s="1"/>
      <c r="N626" s="1"/>
      <c r="O626" s="1"/>
      <c r="P626" s="1"/>
      <c r="Q626" s="1"/>
    </row>
    <row r="627">
      <c r="C627" s="87"/>
      <c r="F627" s="1"/>
      <c r="N627" s="1"/>
      <c r="O627" s="1"/>
      <c r="P627" s="1"/>
      <c r="Q627" s="1"/>
    </row>
    <row r="628">
      <c r="C628" s="87"/>
      <c r="F628" s="1"/>
      <c r="N628" s="1"/>
      <c r="O628" s="1"/>
      <c r="P628" s="1"/>
      <c r="Q628" s="1"/>
    </row>
    <row r="629">
      <c r="C629" s="87"/>
      <c r="F629" s="1"/>
      <c r="N629" s="1"/>
      <c r="O629" s="1"/>
      <c r="P629" s="1"/>
      <c r="Q629" s="1"/>
    </row>
    <row r="630">
      <c r="C630" s="87"/>
      <c r="F630" s="1"/>
      <c r="N630" s="1"/>
      <c r="O630" s="1"/>
      <c r="P630" s="1"/>
      <c r="Q630" s="1"/>
    </row>
    <row r="631">
      <c r="C631" s="87"/>
      <c r="F631" s="1"/>
      <c r="N631" s="1"/>
      <c r="O631" s="1"/>
      <c r="P631" s="1"/>
      <c r="Q631" s="1"/>
    </row>
    <row r="632">
      <c r="C632" s="87"/>
      <c r="F632" s="1"/>
      <c r="N632" s="1"/>
      <c r="O632" s="1"/>
      <c r="P632" s="1"/>
      <c r="Q632" s="1"/>
    </row>
    <row r="633">
      <c r="C633" s="87"/>
      <c r="F633" s="1"/>
      <c r="N633" s="1"/>
      <c r="O633" s="1"/>
      <c r="P633" s="1"/>
      <c r="Q633" s="1"/>
    </row>
    <row r="634">
      <c r="C634" s="87"/>
      <c r="F634" s="1"/>
      <c r="N634" s="1"/>
      <c r="O634" s="1"/>
      <c r="P634" s="1"/>
      <c r="Q634" s="1"/>
    </row>
    <row r="635">
      <c r="C635" s="87"/>
      <c r="F635" s="1"/>
      <c r="N635" s="1"/>
      <c r="O635" s="1"/>
      <c r="P635" s="1"/>
      <c r="Q635" s="1"/>
    </row>
    <row r="636">
      <c r="C636" s="87"/>
      <c r="F636" s="1"/>
      <c r="N636" s="1"/>
      <c r="O636" s="1"/>
      <c r="P636" s="1"/>
      <c r="Q636" s="1"/>
    </row>
    <row r="637">
      <c r="C637" s="87"/>
      <c r="F637" s="1"/>
      <c r="N637" s="1"/>
      <c r="O637" s="1"/>
      <c r="P637" s="1"/>
      <c r="Q637" s="1"/>
    </row>
    <row r="638">
      <c r="C638" s="87"/>
      <c r="F638" s="1"/>
      <c r="N638" s="1"/>
      <c r="O638" s="1"/>
      <c r="P638" s="1"/>
      <c r="Q638" s="1"/>
    </row>
    <row r="639">
      <c r="C639" s="87"/>
      <c r="F639" s="1"/>
      <c r="N639" s="1"/>
      <c r="O639" s="1"/>
      <c r="P639" s="1"/>
      <c r="Q639" s="1"/>
    </row>
    <row r="640">
      <c r="C640" s="87"/>
      <c r="F640" s="1"/>
      <c r="N640" s="1"/>
      <c r="O640" s="1"/>
      <c r="P640" s="1"/>
      <c r="Q640" s="1"/>
    </row>
    <row r="641">
      <c r="C641" s="87"/>
      <c r="F641" s="1"/>
      <c r="N641" s="1"/>
      <c r="O641" s="1"/>
      <c r="P641" s="1"/>
      <c r="Q641" s="1"/>
    </row>
    <row r="642">
      <c r="C642" s="87"/>
      <c r="F642" s="1"/>
      <c r="N642" s="1"/>
      <c r="O642" s="1"/>
      <c r="P642" s="1"/>
      <c r="Q642" s="1"/>
    </row>
    <row r="643">
      <c r="C643" s="87"/>
      <c r="F643" s="1"/>
      <c r="N643" s="1"/>
      <c r="O643" s="1"/>
      <c r="P643" s="1"/>
      <c r="Q643" s="1"/>
    </row>
    <row r="644">
      <c r="C644" s="87"/>
      <c r="F644" s="1"/>
      <c r="N644" s="1"/>
      <c r="O644" s="1"/>
      <c r="P644" s="1"/>
      <c r="Q644" s="1"/>
    </row>
    <row r="645">
      <c r="C645" s="87"/>
      <c r="F645" s="1"/>
      <c r="N645" s="1"/>
      <c r="O645" s="1"/>
      <c r="P645" s="1"/>
      <c r="Q645" s="1"/>
    </row>
    <row r="646">
      <c r="C646" s="87"/>
      <c r="F646" s="1"/>
      <c r="N646" s="1"/>
      <c r="O646" s="1"/>
      <c r="P646" s="1"/>
      <c r="Q646" s="1"/>
    </row>
    <row r="647">
      <c r="C647" s="87"/>
      <c r="F647" s="1"/>
      <c r="N647" s="1"/>
      <c r="O647" s="1"/>
      <c r="P647" s="1"/>
      <c r="Q647" s="1"/>
    </row>
    <row r="648">
      <c r="C648" s="87"/>
      <c r="F648" s="1"/>
      <c r="N648" s="1"/>
      <c r="O648" s="1"/>
      <c r="P648" s="1"/>
      <c r="Q648" s="1"/>
    </row>
    <row r="649">
      <c r="C649" s="87"/>
      <c r="F649" s="1"/>
      <c r="N649" s="1"/>
      <c r="O649" s="1"/>
      <c r="P649" s="1"/>
      <c r="Q649" s="1"/>
    </row>
    <row r="650">
      <c r="C650" s="87"/>
      <c r="F650" s="1"/>
      <c r="N650" s="1"/>
      <c r="O650" s="1"/>
      <c r="P650" s="1"/>
      <c r="Q650" s="1"/>
    </row>
    <row r="651">
      <c r="C651" s="87"/>
      <c r="F651" s="1"/>
      <c r="N651" s="1"/>
      <c r="O651" s="1"/>
      <c r="P651" s="1"/>
      <c r="Q651" s="1"/>
    </row>
    <row r="652">
      <c r="C652" s="87"/>
      <c r="F652" s="1"/>
      <c r="N652" s="1"/>
      <c r="O652" s="1"/>
      <c r="P652" s="1"/>
      <c r="Q652" s="1"/>
    </row>
    <row r="653">
      <c r="C653" s="87"/>
      <c r="F653" s="1"/>
      <c r="N653" s="1"/>
      <c r="O653" s="1"/>
      <c r="P653" s="1"/>
      <c r="Q653" s="1"/>
    </row>
    <row r="654">
      <c r="C654" s="87"/>
      <c r="F654" s="1"/>
      <c r="N654" s="1"/>
      <c r="O654" s="1"/>
      <c r="P654" s="1"/>
      <c r="Q654" s="1"/>
    </row>
    <row r="655">
      <c r="C655" s="87"/>
      <c r="F655" s="1"/>
      <c r="N655" s="1"/>
      <c r="O655" s="1"/>
      <c r="P655" s="1"/>
      <c r="Q655" s="1"/>
    </row>
    <row r="656">
      <c r="C656" s="87"/>
      <c r="F656" s="1"/>
      <c r="N656" s="1"/>
      <c r="O656" s="1"/>
      <c r="P656" s="1"/>
      <c r="Q656" s="1"/>
    </row>
    <row r="657">
      <c r="C657" s="87"/>
      <c r="F657" s="1"/>
      <c r="N657" s="1"/>
      <c r="O657" s="1"/>
      <c r="P657" s="1"/>
      <c r="Q657" s="1"/>
    </row>
    <row r="658">
      <c r="C658" s="87"/>
      <c r="F658" s="1"/>
      <c r="N658" s="1"/>
      <c r="O658" s="1"/>
      <c r="P658" s="1"/>
      <c r="Q658" s="1"/>
    </row>
    <row r="659">
      <c r="C659" s="87"/>
      <c r="F659" s="1"/>
      <c r="N659" s="1"/>
      <c r="O659" s="1"/>
      <c r="P659" s="1"/>
      <c r="Q659" s="1"/>
    </row>
    <row r="660">
      <c r="C660" s="87"/>
      <c r="F660" s="1"/>
      <c r="N660" s="1"/>
      <c r="O660" s="1"/>
      <c r="P660" s="1"/>
      <c r="Q660" s="1"/>
    </row>
    <row r="661">
      <c r="C661" s="87"/>
      <c r="F661" s="1"/>
      <c r="N661" s="1"/>
      <c r="O661" s="1"/>
      <c r="P661" s="1"/>
      <c r="Q661" s="1"/>
    </row>
    <row r="662">
      <c r="C662" s="87"/>
      <c r="F662" s="1"/>
      <c r="N662" s="1"/>
      <c r="O662" s="1"/>
      <c r="P662" s="1"/>
      <c r="Q662" s="1"/>
    </row>
    <row r="663">
      <c r="C663" s="87"/>
      <c r="F663" s="1"/>
      <c r="N663" s="1"/>
      <c r="O663" s="1"/>
      <c r="P663" s="1"/>
      <c r="Q663" s="1"/>
    </row>
    <row r="664">
      <c r="C664" s="87"/>
      <c r="F664" s="1"/>
      <c r="N664" s="1"/>
      <c r="O664" s="1"/>
      <c r="P664" s="1"/>
      <c r="Q664" s="1"/>
    </row>
    <row r="665">
      <c r="C665" s="87"/>
      <c r="F665" s="1"/>
      <c r="N665" s="1"/>
      <c r="O665" s="1"/>
      <c r="P665" s="1"/>
      <c r="Q665" s="1"/>
    </row>
    <row r="666">
      <c r="C666" s="87"/>
      <c r="F666" s="1"/>
      <c r="N666" s="1"/>
      <c r="O666" s="1"/>
      <c r="P666" s="1"/>
      <c r="Q666" s="1"/>
    </row>
    <row r="667">
      <c r="C667" s="87"/>
      <c r="F667" s="1"/>
      <c r="N667" s="1"/>
      <c r="O667" s="1"/>
      <c r="P667" s="1"/>
      <c r="Q667" s="1"/>
    </row>
    <row r="668">
      <c r="C668" s="87"/>
      <c r="F668" s="1"/>
      <c r="N668" s="1"/>
      <c r="O668" s="1"/>
      <c r="P668" s="1"/>
      <c r="Q668" s="1"/>
    </row>
    <row r="669">
      <c r="C669" s="87"/>
      <c r="F669" s="1"/>
      <c r="N669" s="1"/>
      <c r="O669" s="1"/>
      <c r="P669" s="1"/>
      <c r="Q669" s="1"/>
    </row>
    <row r="670">
      <c r="C670" s="87"/>
      <c r="F670" s="1"/>
      <c r="N670" s="1"/>
      <c r="O670" s="1"/>
      <c r="P670" s="1"/>
      <c r="Q670" s="1"/>
    </row>
    <row r="671">
      <c r="C671" s="87"/>
      <c r="F671" s="1"/>
      <c r="N671" s="1"/>
      <c r="O671" s="1"/>
      <c r="P671" s="1"/>
      <c r="Q671" s="1"/>
    </row>
    <row r="672">
      <c r="C672" s="87"/>
      <c r="F672" s="1"/>
      <c r="N672" s="1"/>
      <c r="O672" s="1"/>
      <c r="P672" s="1"/>
      <c r="Q672" s="1"/>
    </row>
    <row r="673">
      <c r="C673" s="87"/>
      <c r="F673" s="1"/>
      <c r="N673" s="1"/>
      <c r="O673" s="1"/>
      <c r="P673" s="1"/>
      <c r="Q673" s="1"/>
    </row>
    <row r="674">
      <c r="C674" s="87"/>
      <c r="F674" s="1"/>
      <c r="N674" s="1"/>
      <c r="O674" s="1"/>
      <c r="P674" s="1"/>
      <c r="Q674" s="1"/>
    </row>
    <row r="675">
      <c r="C675" s="87"/>
      <c r="F675" s="1"/>
      <c r="N675" s="1"/>
      <c r="O675" s="1"/>
      <c r="P675" s="1"/>
      <c r="Q675" s="1"/>
    </row>
    <row r="676">
      <c r="C676" s="87"/>
      <c r="F676" s="1"/>
      <c r="N676" s="1"/>
      <c r="O676" s="1"/>
      <c r="P676" s="1"/>
      <c r="Q676" s="1"/>
    </row>
    <row r="677">
      <c r="C677" s="87"/>
      <c r="F677" s="1"/>
      <c r="N677" s="1"/>
      <c r="O677" s="1"/>
      <c r="P677" s="1"/>
      <c r="Q677" s="1"/>
    </row>
    <row r="678">
      <c r="C678" s="87"/>
      <c r="F678" s="1"/>
      <c r="N678" s="1"/>
      <c r="O678" s="1"/>
      <c r="P678" s="1"/>
      <c r="Q678" s="1"/>
    </row>
    <row r="679">
      <c r="C679" s="87"/>
      <c r="F679" s="1"/>
      <c r="N679" s="1"/>
      <c r="O679" s="1"/>
      <c r="P679" s="1"/>
      <c r="Q679" s="1"/>
    </row>
    <row r="680">
      <c r="C680" s="87"/>
      <c r="F680" s="1"/>
      <c r="N680" s="1"/>
      <c r="O680" s="1"/>
      <c r="P680" s="1"/>
      <c r="Q680" s="1"/>
    </row>
    <row r="681">
      <c r="C681" s="87"/>
      <c r="F681" s="1"/>
      <c r="N681" s="1"/>
      <c r="O681" s="1"/>
      <c r="P681" s="1"/>
      <c r="Q681" s="1"/>
    </row>
    <row r="682">
      <c r="C682" s="87"/>
      <c r="F682" s="1"/>
      <c r="N682" s="1"/>
      <c r="O682" s="1"/>
      <c r="P682" s="1"/>
      <c r="Q682" s="1"/>
    </row>
    <row r="683">
      <c r="C683" s="87"/>
      <c r="F683" s="1"/>
      <c r="N683" s="1"/>
      <c r="O683" s="1"/>
      <c r="P683" s="1"/>
      <c r="Q683" s="1"/>
    </row>
    <row r="684">
      <c r="C684" s="87"/>
      <c r="F684" s="1"/>
      <c r="N684" s="1"/>
      <c r="O684" s="1"/>
      <c r="P684" s="1"/>
      <c r="Q684" s="1"/>
    </row>
    <row r="685">
      <c r="C685" s="87"/>
      <c r="F685" s="1"/>
      <c r="N685" s="1"/>
      <c r="O685" s="1"/>
      <c r="P685" s="1"/>
      <c r="Q685" s="1"/>
    </row>
    <row r="686">
      <c r="C686" s="87"/>
      <c r="F686" s="1"/>
      <c r="N686" s="1"/>
      <c r="O686" s="1"/>
      <c r="P686" s="1"/>
      <c r="Q686" s="1"/>
    </row>
    <row r="687">
      <c r="C687" s="87"/>
      <c r="F687" s="1"/>
      <c r="N687" s="1"/>
      <c r="O687" s="1"/>
      <c r="P687" s="1"/>
      <c r="Q687" s="1"/>
    </row>
    <row r="688">
      <c r="C688" s="87"/>
      <c r="F688" s="1"/>
      <c r="N688" s="1"/>
      <c r="O688" s="1"/>
      <c r="P688" s="1"/>
      <c r="Q688" s="1"/>
    </row>
    <row r="689">
      <c r="C689" s="87"/>
      <c r="F689" s="1"/>
      <c r="N689" s="1"/>
      <c r="O689" s="1"/>
      <c r="P689" s="1"/>
      <c r="Q689" s="1"/>
    </row>
    <row r="690">
      <c r="C690" s="87"/>
      <c r="F690" s="1"/>
      <c r="N690" s="1"/>
      <c r="O690" s="1"/>
      <c r="P690" s="1"/>
      <c r="Q690" s="1"/>
    </row>
    <row r="691">
      <c r="C691" s="87"/>
      <c r="F691" s="1"/>
      <c r="N691" s="1"/>
      <c r="O691" s="1"/>
      <c r="P691" s="1"/>
      <c r="Q691" s="1"/>
    </row>
    <row r="692">
      <c r="C692" s="87"/>
      <c r="F692" s="1"/>
      <c r="N692" s="1"/>
      <c r="O692" s="1"/>
      <c r="P692" s="1"/>
      <c r="Q692" s="1"/>
    </row>
    <row r="693">
      <c r="C693" s="87"/>
      <c r="F693" s="1"/>
      <c r="N693" s="1"/>
      <c r="O693" s="1"/>
      <c r="P693" s="1"/>
      <c r="Q693" s="1"/>
    </row>
    <row r="694">
      <c r="C694" s="87"/>
      <c r="F694" s="1"/>
      <c r="N694" s="1"/>
      <c r="O694" s="1"/>
      <c r="P694" s="1"/>
      <c r="Q694" s="1"/>
    </row>
    <row r="695">
      <c r="C695" s="87"/>
      <c r="F695" s="1"/>
      <c r="N695" s="1"/>
      <c r="O695" s="1"/>
      <c r="P695" s="1"/>
      <c r="Q695" s="1"/>
    </row>
    <row r="696">
      <c r="C696" s="87"/>
      <c r="F696" s="1"/>
      <c r="N696" s="1"/>
      <c r="O696" s="1"/>
      <c r="P696" s="1"/>
      <c r="Q696" s="1"/>
    </row>
    <row r="697">
      <c r="C697" s="87"/>
      <c r="F697" s="1"/>
      <c r="N697" s="1"/>
      <c r="O697" s="1"/>
      <c r="P697" s="1"/>
      <c r="Q697" s="1"/>
    </row>
    <row r="698">
      <c r="C698" s="87"/>
      <c r="F698" s="1"/>
      <c r="N698" s="1"/>
      <c r="O698" s="1"/>
      <c r="P698" s="1"/>
      <c r="Q698" s="1"/>
    </row>
    <row r="699">
      <c r="C699" s="87"/>
      <c r="F699" s="1"/>
      <c r="N699" s="1"/>
      <c r="O699" s="1"/>
      <c r="P699" s="1"/>
      <c r="Q699" s="1"/>
    </row>
    <row r="700">
      <c r="C700" s="87"/>
      <c r="F700" s="1"/>
      <c r="N700" s="1"/>
      <c r="O700" s="1"/>
      <c r="P700" s="1"/>
      <c r="Q700" s="1"/>
    </row>
    <row r="701">
      <c r="C701" s="87"/>
      <c r="F701" s="1"/>
      <c r="N701" s="1"/>
      <c r="O701" s="1"/>
      <c r="P701" s="1"/>
      <c r="Q701" s="1"/>
    </row>
    <row r="702">
      <c r="C702" s="87"/>
      <c r="F702" s="1"/>
      <c r="N702" s="1"/>
      <c r="O702" s="1"/>
      <c r="P702" s="1"/>
      <c r="Q702" s="1"/>
    </row>
    <row r="703">
      <c r="C703" s="87"/>
      <c r="F703" s="1"/>
      <c r="N703" s="1"/>
      <c r="O703" s="1"/>
      <c r="P703" s="1"/>
      <c r="Q703" s="1"/>
    </row>
    <row r="704">
      <c r="C704" s="87"/>
      <c r="F704" s="1"/>
      <c r="N704" s="1"/>
      <c r="O704" s="1"/>
      <c r="P704" s="1"/>
      <c r="Q704" s="1"/>
    </row>
    <row r="705">
      <c r="C705" s="87"/>
      <c r="F705" s="1"/>
      <c r="N705" s="1"/>
      <c r="O705" s="1"/>
      <c r="P705" s="1"/>
      <c r="Q705" s="1"/>
    </row>
    <row r="706">
      <c r="C706" s="87"/>
      <c r="F706" s="1"/>
      <c r="N706" s="1"/>
      <c r="O706" s="1"/>
      <c r="P706" s="1"/>
      <c r="Q706" s="1"/>
    </row>
    <row r="707">
      <c r="C707" s="87"/>
      <c r="F707" s="1"/>
      <c r="N707" s="1"/>
      <c r="O707" s="1"/>
      <c r="P707" s="1"/>
      <c r="Q707" s="1"/>
    </row>
    <row r="708">
      <c r="C708" s="87"/>
      <c r="F708" s="1"/>
      <c r="N708" s="1"/>
      <c r="O708" s="1"/>
      <c r="P708" s="1"/>
      <c r="Q708" s="1"/>
    </row>
    <row r="709">
      <c r="C709" s="87"/>
      <c r="F709" s="1"/>
      <c r="N709" s="1"/>
      <c r="O709" s="1"/>
      <c r="P709" s="1"/>
      <c r="Q709" s="1"/>
    </row>
    <row r="710">
      <c r="C710" s="87"/>
      <c r="F710" s="1"/>
      <c r="N710" s="1"/>
      <c r="O710" s="1"/>
      <c r="P710" s="1"/>
      <c r="Q710" s="1"/>
    </row>
    <row r="711">
      <c r="C711" s="87"/>
      <c r="F711" s="1"/>
      <c r="N711" s="1"/>
      <c r="O711" s="1"/>
      <c r="P711" s="1"/>
      <c r="Q711" s="1"/>
    </row>
    <row r="712">
      <c r="C712" s="87"/>
      <c r="F712" s="1"/>
      <c r="N712" s="1"/>
      <c r="O712" s="1"/>
      <c r="P712" s="1"/>
      <c r="Q712" s="1"/>
    </row>
    <row r="713">
      <c r="C713" s="87"/>
      <c r="F713" s="1"/>
      <c r="N713" s="1"/>
      <c r="O713" s="1"/>
      <c r="P713" s="1"/>
      <c r="Q713" s="1"/>
    </row>
    <row r="714">
      <c r="C714" s="87"/>
      <c r="F714" s="1"/>
      <c r="N714" s="1"/>
      <c r="O714" s="1"/>
      <c r="P714" s="1"/>
      <c r="Q714" s="1"/>
    </row>
    <row r="715">
      <c r="C715" s="87"/>
      <c r="F715" s="1"/>
      <c r="N715" s="1"/>
      <c r="O715" s="1"/>
      <c r="P715" s="1"/>
      <c r="Q715" s="1"/>
    </row>
    <row r="716">
      <c r="C716" s="87"/>
      <c r="F716" s="1"/>
      <c r="N716" s="1"/>
      <c r="O716" s="1"/>
      <c r="P716" s="1"/>
      <c r="Q716" s="1"/>
    </row>
    <row r="717">
      <c r="C717" s="87"/>
      <c r="F717" s="1"/>
      <c r="N717" s="1"/>
      <c r="O717" s="1"/>
      <c r="P717" s="1"/>
      <c r="Q717" s="1"/>
    </row>
    <row r="718">
      <c r="C718" s="87"/>
      <c r="F718" s="1"/>
      <c r="N718" s="1"/>
      <c r="O718" s="1"/>
      <c r="P718" s="1"/>
      <c r="Q718" s="1"/>
    </row>
    <row r="719">
      <c r="C719" s="87"/>
      <c r="F719" s="1"/>
      <c r="N719" s="1"/>
      <c r="O719" s="1"/>
      <c r="P719" s="1"/>
      <c r="Q719" s="1"/>
    </row>
    <row r="720">
      <c r="C720" s="87"/>
      <c r="F720" s="1"/>
      <c r="N720" s="1"/>
      <c r="O720" s="1"/>
      <c r="P720" s="1"/>
      <c r="Q720" s="1"/>
    </row>
    <row r="721">
      <c r="C721" s="87"/>
      <c r="F721" s="1"/>
      <c r="N721" s="1"/>
      <c r="O721" s="1"/>
      <c r="P721" s="1"/>
      <c r="Q721" s="1"/>
    </row>
    <row r="722">
      <c r="C722" s="87"/>
      <c r="F722" s="1"/>
      <c r="N722" s="1"/>
      <c r="O722" s="1"/>
      <c r="P722" s="1"/>
      <c r="Q722" s="1"/>
    </row>
    <row r="723">
      <c r="C723" s="87"/>
      <c r="F723" s="1"/>
      <c r="N723" s="1"/>
      <c r="O723" s="1"/>
      <c r="P723" s="1"/>
      <c r="Q723" s="1"/>
    </row>
    <row r="724">
      <c r="C724" s="87"/>
      <c r="F724" s="1"/>
      <c r="N724" s="1"/>
      <c r="O724" s="1"/>
      <c r="P724" s="1"/>
      <c r="Q724" s="1"/>
    </row>
    <row r="725">
      <c r="C725" s="87"/>
      <c r="F725" s="1"/>
      <c r="N725" s="1"/>
      <c r="O725" s="1"/>
      <c r="P725" s="1"/>
      <c r="Q725" s="1"/>
    </row>
    <row r="726">
      <c r="C726" s="87"/>
      <c r="F726" s="1"/>
      <c r="N726" s="1"/>
      <c r="O726" s="1"/>
      <c r="P726" s="1"/>
      <c r="Q726" s="1"/>
    </row>
    <row r="727">
      <c r="C727" s="87"/>
      <c r="F727" s="1"/>
      <c r="N727" s="1"/>
      <c r="O727" s="1"/>
      <c r="P727" s="1"/>
      <c r="Q727" s="1"/>
    </row>
    <row r="728">
      <c r="C728" s="87"/>
      <c r="F728" s="1"/>
      <c r="N728" s="1"/>
      <c r="O728" s="1"/>
      <c r="P728" s="1"/>
      <c r="Q728" s="1"/>
    </row>
    <row r="729">
      <c r="C729" s="87"/>
      <c r="F729" s="1"/>
      <c r="N729" s="1"/>
      <c r="O729" s="1"/>
      <c r="P729" s="1"/>
      <c r="Q729" s="1"/>
    </row>
    <row r="730">
      <c r="C730" s="87"/>
      <c r="F730" s="1"/>
      <c r="N730" s="1"/>
      <c r="O730" s="1"/>
      <c r="P730" s="1"/>
      <c r="Q730" s="1"/>
    </row>
    <row r="731">
      <c r="C731" s="87"/>
      <c r="F731" s="1"/>
      <c r="N731" s="1"/>
      <c r="O731" s="1"/>
      <c r="P731" s="1"/>
      <c r="Q731" s="1"/>
    </row>
    <row r="732">
      <c r="C732" s="87"/>
      <c r="F732" s="1"/>
      <c r="N732" s="1"/>
      <c r="O732" s="1"/>
      <c r="P732" s="1"/>
      <c r="Q732" s="1"/>
    </row>
    <row r="733">
      <c r="C733" s="87"/>
      <c r="F733" s="1"/>
      <c r="N733" s="1"/>
      <c r="O733" s="1"/>
      <c r="P733" s="1"/>
      <c r="Q733" s="1"/>
    </row>
    <row r="734">
      <c r="C734" s="87"/>
      <c r="F734" s="1"/>
      <c r="N734" s="1"/>
      <c r="O734" s="1"/>
      <c r="P734" s="1"/>
      <c r="Q734" s="1"/>
    </row>
    <row r="735">
      <c r="C735" s="87"/>
      <c r="F735" s="1"/>
      <c r="N735" s="1"/>
      <c r="O735" s="1"/>
      <c r="P735" s="1"/>
      <c r="Q735" s="1"/>
    </row>
    <row r="736">
      <c r="C736" s="87"/>
      <c r="F736" s="1"/>
      <c r="N736" s="1"/>
      <c r="O736" s="1"/>
      <c r="P736" s="1"/>
      <c r="Q736" s="1"/>
    </row>
    <row r="737">
      <c r="C737" s="87"/>
      <c r="F737" s="1"/>
      <c r="N737" s="1"/>
      <c r="O737" s="1"/>
      <c r="P737" s="1"/>
      <c r="Q737" s="1"/>
    </row>
    <row r="738">
      <c r="C738" s="87"/>
      <c r="F738" s="1"/>
      <c r="N738" s="1"/>
      <c r="O738" s="1"/>
      <c r="P738" s="1"/>
      <c r="Q738" s="1"/>
    </row>
    <row r="739">
      <c r="C739" s="87"/>
      <c r="F739" s="1"/>
      <c r="N739" s="1"/>
      <c r="O739" s="1"/>
      <c r="P739" s="1"/>
      <c r="Q739" s="1"/>
    </row>
    <row r="740">
      <c r="C740" s="87"/>
      <c r="F740" s="1"/>
      <c r="N740" s="1"/>
      <c r="O740" s="1"/>
      <c r="P740" s="1"/>
      <c r="Q740" s="1"/>
    </row>
    <row r="741">
      <c r="C741" s="87"/>
      <c r="F741" s="1"/>
      <c r="N741" s="1"/>
      <c r="O741" s="1"/>
      <c r="P741" s="1"/>
      <c r="Q741" s="1"/>
    </row>
    <row r="742">
      <c r="C742" s="87"/>
      <c r="F742" s="1"/>
      <c r="N742" s="1"/>
      <c r="O742" s="1"/>
      <c r="P742" s="1"/>
      <c r="Q742" s="1"/>
    </row>
    <row r="743">
      <c r="C743" s="87"/>
      <c r="F743" s="1"/>
      <c r="N743" s="1"/>
      <c r="O743" s="1"/>
      <c r="P743" s="1"/>
      <c r="Q743" s="1"/>
    </row>
    <row r="744">
      <c r="C744" s="87"/>
      <c r="F744" s="1"/>
      <c r="N744" s="1"/>
      <c r="O744" s="1"/>
      <c r="P744" s="1"/>
      <c r="Q744" s="1"/>
    </row>
    <row r="745">
      <c r="C745" s="87"/>
      <c r="F745" s="1"/>
      <c r="N745" s="1"/>
      <c r="O745" s="1"/>
      <c r="P745" s="1"/>
      <c r="Q745" s="1"/>
    </row>
    <row r="746">
      <c r="C746" s="87"/>
      <c r="F746" s="1"/>
      <c r="N746" s="1"/>
      <c r="O746" s="1"/>
      <c r="P746" s="1"/>
      <c r="Q746" s="1"/>
    </row>
    <row r="747">
      <c r="C747" s="87"/>
      <c r="F747" s="1"/>
      <c r="N747" s="1"/>
      <c r="O747" s="1"/>
      <c r="P747" s="1"/>
      <c r="Q747" s="1"/>
    </row>
    <row r="748">
      <c r="C748" s="87"/>
      <c r="F748" s="1"/>
      <c r="N748" s="1"/>
      <c r="O748" s="1"/>
      <c r="P748" s="1"/>
      <c r="Q748" s="1"/>
    </row>
    <row r="749">
      <c r="C749" s="87"/>
      <c r="F749" s="1"/>
      <c r="N749" s="1"/>
      <c r="O749" s="1"/>
      <c r="P749" s="1"/>
      <c r="Q749" s="1"/>
    </row>
    <row r="750">
      <c r="C750" s="87"/>
      <c r="F750" s="1"/>
      <c r="N750" s="1"/>
      <c r="O750" s="1"/>
      <c r="P750" s="1"/>
      <c r="Q750" s="1"/>
    </row>
    <row r="751">
      <c r="C751" s="87"/>
      <c r="F751" s="1"/>
      <c r="N751" s="1"/>
      <c r="O751" s="1"/>
      <c r="P751" s="1"/>
      <c r="Q751" s="1"/>
    </row>
    <row r="752">
      <c r="C752" s="87"/>
      <c r="F752" s="1"/>
      <c r="N752" s="1"/>
      <c r="O752" s="1"/>
      <c r="P752" s="1"/>
      <c r="Q752" s="1"/>
    </row>
    <row r="753">
      <c r="C753" s="87"/>
      <c r="F753" s="1"/>
      <c r="N753" s="1"/>
      <c r="O753" s="1"/>
      <c r="P753" s="1"/>
      <c r="Q753" s="1"/>
    </row>
    <row r="754">
      <c r="C754" s="87"/>
      <c r="F754" s="1"/>
      <c r="N754" s="1"/>
      <c r="O754" s="1"/>
      <c r="P754" s="1"/>
      <c r="Q754" s="1"/>
    </row>
    <row r="755">
      <c r="C755" s="87"/>
      <c r="F755" s="1"/>
      <c r="N755" s="1"/>
      <c r="O755" s="1"/>
      <c r="P755" s="1"/>
      <c r="Q755" s="1"/>
    </row>
    <row r="756">
      <c r="C756" s="87"/>
      <c r="F756" s="1"/>
      <c r="N756" s="1"/>
      <c r="O756" s="1"/>
      <c r="P756" s="1"/>
      <c r="Q756" s="1"/>
    </row>
    <row r="757">
      <c r="C757" s="87"/>
      <c r="F757" s="1"/>
      <c r="N757" s="1"/>
      <c r="O757" s="1"/>
      <c r="P757" s="1"/>
      <c r="Q757" s="1"/>
    </row>
    <row r="758">
      <c r="C758" s="87"/>
      <c r="F758" s="1"/>
      <c r="N758" s="1"/>
      <c r="O758" s="1"/>
      <c r="P758" s="1"/>
      <c r="Q758" s="1"/>
    </row>
    <row r="759">
      <c r="C759" s="87"/>
      <c r="F759" s="1"/>
      <c r="N759" s="1"/>
      <c r="O759" s="1"/>
      <c r="P759" s="1"/>
      <c r="Q759" s="1"/>
    </row>
    <row r="760">
      <c r="C760" s="87"/>
      <c r="F760" s="1"/>
      <c r="N760" s="1"/>
      <c r="O760" s="1"/>
      <c r="P760" s="1"/>
      <c r="Q760" s="1"/>
    </row>
    <row r="761">
      <c r="C761" s="87"/>
      <c r="F761" s="1"/>
      <c r="N761" s="1"/>
      <c r="O761" s="1"/>
      <c r="P761" s="1"/>
      <c r="Q761" s="1"/>
    </row>
    <row r="762">
      <c r="C762" s="87"/>
      <c r="F762" s="1"/>
      <c r="N762" s="1"/>
      <c r="O762" s="1"/>
      <c r="P762" s="1"/>
      <c r="Q762" s="1"/>
    </row>
    <row r="763">
      <c r="C763" s="87"/>
      <c r="F763" s="1"/>
      <c r="N763" s="1"/>
      <c r="O763" s="1"/>
      <c r="P763" s="1"/>
      <c r="Q763" s="1"/>
    </row>
    <row r="764">
      <c r="C764" s="87"/>
      <c r="F764" s="1"/>
      <c r="N764" s="1"/>
      <c r="O764" s="1"/>
      <c r="P764" s="1"/>
      <c r="Q764" s="1"/>
    </row>
    <row r="765">
      <c r="C765" s="87"/>
      <c r="F765" s="1"/>
      <c r="N765" s="1"/>
      <c r="O765" s="1"/>
      <c r="P765" s="1"/>
      <c r="Q765" s="1"/>
    </row>
    <row r="766">
      <c r="C766" s="87"/>
      <c r="F766" s="1"/>
      <c r="N766" s="1"/>
      <c r="O766" s="1"/>
      <c r="P766" s="1"/>
      <c r="Q766" s="1"/>
    </row>
    <row r="767">
      <c r="C767" s="87"/>
      <c r="F767" s="1"/>
      <c r="N767" s="1"/>
      <c r="O767" s="1"/>
      <c r="P767" s="1"/>
      <c r="Q767" s="1"/>
    </row>
    <row r="768">
      <c r="C768" s="87"/>
      <c r="F768" s="1"/>
      <c r="N768" s="1"/>
      <c r="O768" s="1"/>
      <c r="P768" s="1"/>
      <c r="Q768" s="1"/>
    </row>
    <row r="769">
      <c r="C769" s="87"/>
      <c r="F769" s="1"/>
      <c r="N769" s="1"/>
      <c r="O769" s="1"/>
      <c r="P769" s="1"/>
      <c r="Q769" s="1"/>
    </row>
    <row r="770">
      <c r="C770" s="87"/>
      <c r="F770" s="1"/>
      <c r="N770" s="1"/>
      <c r="O770" s="1"/>
      <c r="P770" s="1"/>
      <c r="Q770" s="1"/>
    </row>
    <row r="771">
      <c r="C771" s="87"/>
      <c r="F771" s="1"/>
      <c r="N771" s="1"/>
      <c r="O771" s="1"/>
      <c r="P771" s="1"/>
      <c r="Q771" s="1"/>
    </row>
    <row r="772">
      <c r="C772" s="87"/>
      <c r="F772" s="1"/>
      <c r="N772" s="1"/>
      <c r="O772" s="1"/>
      <c r="P772" s="1"/>
      <c r="Q772" s="1"/>
    </row>
    <row r="773">
      <c r="C773" s="87"/>
      <c r="F773" s="1"/>
      <c r="N773" s="1"/>
      <c r="O773" s="1"/>
      <c r="P773" s="1"/>
      <c r="Q773" s="1"/>
    </row>
    <row r="774">
      <c r="C774" s="87"/>
      <c r="F774" s="1"/>
      <c r="N774" s="1"/>
      <c r="O774" s="1"/>
      <c r="P774" s="1"/>
      <c r="Q774" s="1"/>
    </row>
    <row r="775">
      <c r="C775" s="87"/>
      <c r="F775" s="1"/>
      <c r="N775" s="1"/>
      <c r="O775" s="1"/>
      <c r="P775" s="1"/>
      <c r="Q775" s="1"/>
    </row>
    <row r="776">
      <c r="C776" s="87"/>
      <c r="F776" s="1"/>
      <c r="N776" s="1"/>
      <c r="O776" s="1"/>
      <c r="P776" s="1"/>
      <c r="Q776" s="1"/>
    </row>
    <row r="777">
      <c r="C777" s="87"/>
      <c r="F777" s="1"/>
      <c r="N777" s="1"/>
      <c r="O777" s="1"/>
      <c r="P777" s="1"/>
      <c r="Q777" s="1"/>
    </row>
    <row r="778">
      <c r="C778" s="87"/>
      <c r="F778" s="1"/>
      <c r="N778" s="1"/>
      <c r="O778" s="1"/>
      <c r="P778" s="1"/>
      <c r="Q778" s="1"/>
    </row>
    <row r="779">
      <c r="C779" s="87"/>
      <c r="F779" s="1"/>
      <c r="N779" s="1"/>
      <c r="O779" s="1"/>
      <c r="P779" s="1"/>
      <c r="Q779" s="1"/>
    </row>
    <row r="780">
      <c r="C780" s="87"/>
      <c r="F780" s="1"/>
      <c r="N780" s="1"/>
      <c r="O780" s="1"/>
      <c r="P780" s="1"/>
      <c r="Q780" s="1"/>
    </row>
    <row r="781">
      <c r="C781" s="87"/>
      <c r="F781" s="1"/>
      <c r="N781" s="1"/>
      <c r="O781" s="1"/>
      <c r="P781" s="1"/>
      <c r="Q781" s="1"/>
    </row>
    <row r="782">
      <c r="C782" s="87"/>
      <c r="F782" s="1"/>
      <c r="N782" s="1"/>
      <c r="O782" s="1"/>
      <c r="P782" s="1"/>
      <c r="Q782" s="1"/>
    </row>
    <row r="783">
      <c r="C783" s="87"/>
      <c r="F783" s="1"/>
      <c r="N783" s="1"/>
      <c r="O783" s="1"/>
      <c r="P783" s="1"/>
      <c r="Q783" s="1"/>
    </row>
    <row r="784">
      <c r="C784" s="87"/>
      <c r="F784" s="1"/>
      <c r="N784" s="1"/>
      <c r="O784" s="1"/>
      <c r="P784" s="1"/>
      <c r="Q784" s="1"/>
    </row>
    <row r="785">
      <c r="C785" s="87"/>
      <c r="F785" s="1"/>
      <c r="N785" s="1"/>
      <c r="O785" s="1"/>
      <c r="P785" s="1"/>
      <c r="Q785" s="1"/>
    </row>
    <row r="786">
      <c r="C786" s="87"/>
      <c r="F786" s="1"/>
      <c r="N786" s="1"/>
      <c r="O786" s="1"/>
      <c r="P786" s="1"/>
      <c r="Q786" s="1"/>
    </row>
    <row r="787">
      <c r="C787" s="87"/>
      <c r="F787" s="1"/>
      <c r="N787" s="1"/>
      <c r="O787" s="1"/>
      <c r="P787" s="1"/>
      <c r="Q787" s="1"/>
    </row>
    <row r="788">
      <c r="C788" s="87"/>
      <c r="F788" s="1"/>
      <c r="N788" s="1"/>
      <c r="O788" s="1"/>
      <c r="P788" s="1"/>
      <c r="Q788" s="1"/>
    </row>
    <row r="789">
      <c r="C789" s="87"/>
      <c r="F789" s="1"/>
      <c r="N789" s="1"/>
      <c r="O789" s="1"/>
      <c r="P789" s="1"/>
      <c r="Q789" s="1"/>
    </row>
    <row r="790">
      <c r="C790" s="87"/>
      <c r="F790" s="1"/>
      <c r="N790" s="1"/>
      <c r="O790" s="1"/>
      <c r="P790" s="1"/>
      <c r="Q790" s="1"/>
    </row>
    <row r="791">
      <c r="C791" s="87"/>
      <c r="F791" s="1"/>
      <c r="N791" s="1"/>
      <c r="O791" s="1"/>
      <c r="P791" s="1"/>
      <c r="Q791" s="1"/>
    </row>
    <row r="792">
      <c r="C792" s="87"/>
      <c r="F792" s="1"/>
      <c r="N792" s="1"/>
      <c r="O792" s="1"/>
      <c r="P792" s="1"/>
      <c r="Q792" s="1"/>
    </row>
    <row r="793">
      <c r="C793" s="87"/>
      <c r="F793" s="1"/>
      <c r="N793" s="1"/>
      <c r="O793" s="1"/>
      <c r="P793" s="1"/>
      <c r="Q793" s="1"/>
    </row>
    <row r="794">
      <c r="C794" s="87"/>
      <c r="F794" s="1"/>
      <c r="N794" s="1"/>
      <c r="O794" s="1"/>
      <c r="P794" s="1"/>
      <c r="Q794" s="1"/>
    </row>
    <row r="795">
      <c r="C795" s="87"/>
      <c r="F795" s="1"/>
      <c r="N795" s="1"/>
      <c r="O795" s="1"/>
      <c r="P795" s="1"/>
      <c r="Q795" s="1"/>
    </row>
    <row r="796">
      <c r="C796" s="87"/>
      <c r="F796" s="1"/>
      <c r="N796" s="1"/>
      <c r="O796" s="1"/>
      <c r="P796" s="1"/>
      <c r="Q796" s="1"/>
    </row>
    <row r="797">
      <c r="C797" s="87"/>
      <c r="F797" s="1"/>
      <c r="N797" s="1"/>
      <c r="O797" s="1"/>
      <c r="P797" s="1"/>
      <c r="Q797" s="1"/>
    </row>
    <row r="798">
      <c r="C798" s="87"/>
      <c r="F798" s="1"/>
      <c r="N798" s="1"/>
      <c r="O798" s="1"/>
      <c r="P798" s="1"/>
      <c r="Q798" s="1"/>
    </row>
    <row r="799">
      <c r="C799" s="87"/>
      <c r="F799" s="1"/>
      <c r="N799" s="1"/>
      <c r="O799" s="1"/>
      <c r="P799" s="1"/>
      <c r="Q799" s="1"/>
    </row>
    <row r="800">
      <c r="C800" s="87"/>
      <c r="F800" s="1"/>
      <c r="N800" s="1"/>
      <c r="O800" s="1"/>
      <c r="P800" s="1"/>
      <c r="Q800" s="1"/>
    </row>
    <row r="801">
      <c r="C801" s="87"/>
      <c r="F801" s="1"/>
      <c r="N801" s="1"/>
      <c r="O801" s="1"/>
      <c r="P801" s="1"/>
      <c r="Q801" s="1"/>
    </row>
    <row r="802">
      <c r="C802" s="87"/>
      <c r="F802" s="1"/>
      <c r="N802" s="1"/>
      <c r="O802" s="1"/>
      <c r="P802" s="1"/>
      <c r="Q802" s="1"/>
    </row>
    <row r="803">
      <c r="C803" s="87"/>
      <c r="F803" s="1"/>
      <c r="N803" s="1"/>
      <c r="O803" s="1"/>
      <c r="P803" s="1"/>
      <c r="Q803" s="1"/>
    </row>
    <row r="804">
      <c r="C804" s="87"/>
      <c r="F804" s="1"/>
      <c r="N804" s="1"/>
      <c r="O804" s="1"/>
      <c r="P804" s="1"/>
      <c r="Q804" s="1"/>
    </row>
    <row r="805">
      <c r="C805" s="87"/>
      <c r="F805" s="1"/>
      <c r="N805" s="1"/>
      <c r="O805" s="1"/>
      <c r="P805" s="1"/>
      <c r="Q805" s="1"/>
    </row>
    <row r="806">
      <c r="C806" s="87"/>
      <c r="F806" s="1"/>
      <c r="N806" s="1"/>
      <c r="O806" s="1"/>
      <c r="P806" s="1"/>
      <c r="Q806" s="1"/>
    </row>
    <row r="807">
      <c r="C807" s="87"/>
      <c r="F807" s="1"/>
      <c r="N807" s="1"/>
      <c r="O807" s="1"/>
      <c r="P807" s="1"/>
      <c r="Q807" s="1"/>
    </row>
    <row r="808">
      <c r="C808" s="87"/>
      <c r="F808" s="1"/>
      <c r="N808" s="1"/>
      <c r="O808" s="1"/>
      <c r="P808" s="1"/>
      <c r="Q808" s="1"/>
    </row>
    <row r="809">
      <c r="C809" s="87"/>
      <c r="F809" s="1"/>
      <c r="N809" s="1"/>
      <c r="O809" s="1"/>
      <c r="P809" s="1"/>
      <c r="Q809" s="1"/>
    </row>
    <row r="810">
      <c r="C810" s="87"/>
      <c r="F810" s="1"/>
      <c r="N810" s="1"/>
      <c r="O810" s="1"/>
      <c r="P810" s="1"/>
      <c r="Q810" s="1"/>
    </row>
    <row r="811">
      <c r="C811" s="87"/>
      <c r="F811" s="1"/>
      <c r="N811" s="1"/>
      <c r="O811" s="1"/>
      <c r="P811" s="1"/>
      <c r="Q811" s="1"/>
    </row>
    <row r="812">
      <c r="C812" s="87"/>
      <c r="F812" s="1"/>
      <c r="N812" s="1"/>
      <c r="O812" s="1"/>
      <c r="P812" s="1"/>
      <c r="Q812" s="1"/>
    </row>
    <row r="813">
      <c r="C813" s="87"/>
      <c r="F813" s="1"/>
      <c r="N813" s="1"/>
      <c r="O813" s="1"/>
      <c r="P813" s="1"/>
      <c r="Q813" s="1"/>
    </row>
    <row r="814">
      <c r="C814" s="87"/>
      <c r="F814" s="1"/>
      <c r="N814" s="1"/>
      <c r="O814" s="1"/>
      <c r="P814" s="1"/>
      <c r="Q814" s="1"/>
    </row>
    <row r="815">
      <c r="C815" s="87"/>
      <c r="F815" s="1"/>
      <c r="N815" s="1"/>
      <c r="O815" s="1"/>
      <c r="P815" s="1"/>
      <c r="Q815" s="1"/>
    </row>
    <row r="816">
      <c r="C816" s="87"/>
      <c r="F816" s="1"/>
      <c r="N816" s="1"/>
      <c r="O816" s="1"/>
      <c r="P816" s="1"/>
      <c r="Q816" s="1"/>
    </row>
    <row r="817">
      <c r="C817" s="87"/>
      <c r="F817" s="1"/>
      <c r="N817" s="1"/>
      <c r="O817" s="1"/>
      <c r="P817" s="1"/>
      <c r="Q817" s="1"/>
    </row>
    <row r="818">
      <c r="C818" s="87"/>
      <c r="F818" s="1"/>
      <c r="N818" s="1"/>
      <c r="O818" s="1"/>
      <c r="P818" s="1"/>
      <c r="Q818" s="1"/>
    </row>
    <row r="819">
      <c r="C819" s="87"/>
      <c r="F819" s="1"/>
      <c r="N819" s="1"/>
      <c r="O819" s="1"/>
      <c r="P819" s="1"/>
      <c r="Q819" s="1"/>
    </row>
    <row r="820">
      <c r="C820" s="87"/>
      <c r="F820" s="1"/>
      <c r="N820" s="1"/>
      <c r="O820" s="1"/>
      <c r="P820" s="1"/>
      <c r="Q820" s="1"/>
    </row>
    <row r="821">
      <c r="C821" s="87"/>
      <c r="F821" s="1"/>
      <c r="N821" s="1"/>
      <c r="O821" s="1"/>
      <c r="P821" s="1"/>
      <c r="Q821" s="1"/>
    </row>
    <row r="822">
      <c r="C822" s="87"/>
      <c r="F822" s="1"/>
      <c r="N822" s="1"/>
      <c r="O822" s="1"/>
      <c r="P822" s="1"/>
      <c r="Q822" s="1"/>
    </row>
    <row r="823">
      <c r="C823" s="87"/>
      <c r="F823" s="1"/>
      <c r="N823" s="1"/>
      <c r="O823" s="1"/>
      <c r="P823" s="1"/>
      <c r="Q823" s="1"/>
    </row>
    <row r="824">
      <c r="C824" s="87"/>
      <c r="F824" s="1"/>
      <c r="N824" s="1"/>
      <c r="O824" s="1"/>
      <c r="P824" s="1"/>
      <c r="Q824" s="1"/>
    </row>
    <row r="825">
      <c r="C825" s="87"/>
      <c r="F825" s="1"/>
      <c r="N825" s="1"/>
      <c r="O825" s="1"/>
      <c r="P825" s="1"/>
      <c r="Q825" s="1"/>
    </row>
    <row r="826">
      <c r="C826" s="87"/>
      <c r="F826" s="1"/>
      <c r="N826" s="1"/>
      <c r="O826" s="1"/>
      <c r="P826" s="1"/>
      <c r="Q826" s="1"/>
    </row>
    <row r="827">
      <c r="C827" s="87"/>
      <c r="F827" s="1"/>
      <c r="N827" s="1"/>
      <c r="O827" s="1"/>
      <c r="P827" s="1"/>
      <c r="Q827" s="1"/>
    </row>
    <row r="828">
      <c r="C828" s="87"/>
      <c r="F828" s="1"/>
      <c r="N828" s="1"/>
      <c r="O828" s="1"/>
      <c r="P828" s="1"/>
      <c r="Q828" s="1"/>
    </row>
    <row r="829">
      <c r="C829" s="87"/>
      <c r="F829" s="1"/>
      <c r="N829" s="1"/>
      <c r="O829" s="1"/>
      <c r="P829" s="1"/>
      <c r="Q829" s="1"/>
    </row>
    <row r="830">
      <c r="C830" s="87"/>
      <c r="F830" s="1"/>
      <c r="N830" s="1"/>
      <c r="O830" s="1"/>
      <c r="P830" s="1"/>
      <c r="Q830" s="1"/>
    </row>
    <row r="831">
      <c r="C831" s="87"/>
      <c r="F831" s="1"/>
      <c r="N831" s="1"/>
      <c r="O831" s="1"/>
      <c r="P831" s="1"/>
      <c r="Q831" s="1"/>
    </row>
    <row r="832">
      <c r="C832" s="87"/>
      <c r="F832" s="1"/>
      <c r="N832" s="1"/>
      <c r="O832" s="1"/>
      <c r="P832" s="1"/>
      <c r="Q832" s="1"/>
    </row>
    <row r="833">
      <c r="C833" s="87"/>
      <c r="F833" s="1"/>
      <c r="N833" s="1"/>
      <c r="O833" s="1"/>
      <c r="P833" s="1"/>
      <c r="Q833" s="1"/>
    </row>
    <row r="834">
      <c r="C834" s="87"/>
      <c r="F834" s="1"/>
      <c r="N834" s="1"/>
      <c r="O834" s="1"/>
      <c r="P834" s="1"/>
      <c r="Q834" s="1"/>
    </row>
    <row r="835">
      <c r="C835" s="87"/>
      <c r="F835" s="1"/>
      <c r="N835" s="1"/>
      <c r="O835" s="1"/>
      <c r="P835" s="1"/>
      <c r="Q835" s="1"/>
    </row>
    <row r="836">
      <c r="C836" s="87"/>
      <c r="F836" s="1"/>
      <c r="N836" s="1"/>
      <c r="O836" s="1"/>
      <c r="P836" s="1"/>
      <c r="Q836" s="1"/>
    </row>
    <row r="837">
      <c r="C837" s="87"/>
      <c r="F837" s="1"/>
      <c r="N837" s="1"/>
      <c r="O837" s="1"/>
      <c r="P837" s="1"/>
      <c r="Q837" s="1"/>
    </row>
    <row r="838">
      <c r="C838" s="87"/>
      <c r="F838" s="1"/>
      <c r="N838" s="1"/>
      <c r="O838" s="1"/>
      <c r="P838" s="1"/>
      <c r="Q838" s="1"/>
    </row>
    <row r="839">
      <c r="C839" s="87"/>
      <c r="F839" s="1"/>
      <c r="N839" s="1"/>
      <c r="O839" s="1"/>
      <c r="P839" s="1"/>
      <c r="Q839" s="1"/>
    </row>
    <row r="840">
      <c r="C840" s="87"/>
      <c r="F840" s="1"/>
      <c r="N840" s="1"/>
      <c r="O840" s="1"/>
      <c r="P840" s="1"/>
      <c r="Q840" s="1"/>
    </row>
    <row r="841">
      <c r="C841" s="87"/>
      <c r="F841" s="1"/>
      <c r="N841" s="1"/>
      <c r="O841" s="1"/>
      <c r="P841" s="1"/>
      <c r="Q841" s="1"/>
    </row>
    <row r="842">
      <c r="C842" s="87"/>
      <c r="F842" s="1"/>
      <c r="N842" s="1"/>
      <c r="O842" s="1"/>
      <c r="P842" s="1"/>
      <c r="Q842" s="1"/>
    </row>
    <row r="843">
      <c r="C843" s="87"/>
      <c r="F843" s="1"/>
      <c r="N843" s="1"/>
      <c r="O843" s="1"/>
      <c r="P843" s="1"/>
      <c r="Q843" s="1"/>
    </row>
    <row r="844">
      <c r="C844" s="87"/>
      <c r="F844" s="1"/>
      <c r="N844" s="1"/>
      <c r="O844" s="1"/>
      <c r="P844" s="1"/>
      <c r="Q844" s="1"/>
    </row>
    <row r="845">
      <c r="C845" s="87"/>
      <c r="F845" s="1"/>
      <c r="N845" s="1"/>
      <c r="O845" s="1"/>
      <c r="P845" s="1"/>
      <c r="Q845" s="1"/>
    </row>
    <row r="846">
      <c r="C846" s="87"/>
      <c r="F846" s="1"/>
      <c r="N846" s="1"/>
      <c r="O846" s="1"/>
      <c r="P846" s="1"/>
      <c r="Q846" s="1"/>
    </row>
    <row r="847">
      <c r="C847" s="87"/>
      <c r="F847" s="1"/>
      <c r="N847" s="1"/>
      <c r="O847" s="1"/>
      <c r="P847" s="1"/>
      <c r="Q847" s="1"/>
    </row>
    <row r="848">
      <c r="C848" s="87"/>
      <c r="F848" s="1"/>
      <c r="N848" s="1"/>
      <c r="O848" s="1"/>
      <c r="P848" s="1"/>
      <c r="Q848" s="1"/>
    </row>
    <row r="849">
      <c r="C849" s="87"/>
      <c r="F849" s="1"/>
      <c r="N849" s="1"/>
      <c r="O849" s="1"/>
      <c r="P849" s="1"/>
      <c r="Q849" s="1"/>
    </row>
    <row r="850">
      <c r="C850" s="87"/>
      <c r="F850" s="1"/>
      <c r="N850" s="1"/>
      <c r="O850" s="1"/>
      <c r="P850" s="1"/>
      <c r="Q850" s="1"/>
    </row>
    <row r="851">
      <c r="C851" s="87"/>
      <c r="F851" s="1"/>
      <c r="N851" s="1"/>
      <c r="O851" s="1"/>
      <c r="P851" s="1"/>
      <c r="Q851" s="1"/>
    </row>
    <row r="852">
      <c r="C852" s="87"/>
      <c r="F852" s="1"/>
      <c r="N852" s="1"/>
      <c r="O852" s="1"/>
      <c r="P852" s="1"/>
      <c r="Q852" s="1"/>
    </row>
    <row r="853">
      <c r="C853" s="87"/>
      <c r="F853" s="1"/>
      <c r="N853" s="1"/>
      <c r="O853" s="1"/>
      <c r="P853" s="1"/>
      <c r="Q853" s="1"/>
    </row>
    <row r="854">
      <c r="C854" s="87"/>
      <c r="F854" s="1"/>
      <c r="N854" s="1"/>
      <c r="O854" s="1"/>
      <c r="P854" s="1"/>
      <c r="Q854" s="1"/>
    </row>
    <row r="855">
      <c r="C855" s="87"/>
      <c r="F855" s="1"/>
      <c r="N855" s="1"/>
      <c r="O855" s="1"/>
      <c r="P855" s="1"/>
      <c r="Q855" s="1"/>
    </row>
    <row r="856">
      <c r="C856" s="87"/>
      <c r="F856" s="1"/>
      <c r="N856" s="1"/>
      <c r="O856" s="1"/>
      <c r="P856" s="1"/>
      <c r="Q856" s="1"/>
    </row>
    <row r="857">
      <c r="C857" s="87"/>
      <c r="F857" s="1"/>
      <c r="N857" s="1"/>
      <c r="O857" s="1"/>
      <c r="P857" s="1"/>
      <c r="Q857" s="1"/>
    </row>
    <row r="858">
      <c r="C858" s="87"/>
      <c r="F858" s="1"/>
      <c r="N858" s="1"/>
      <c r="O858" s="1"/>
      <c r="P858" s="1"/>
      <c r="Q858" s="1"/>
    </row>
    <row r="859">
      <c r="C859" s="87"/>
      <c r="F859" s="1"/>
      <c r="N859" s="1"/>
      <c r="O859" s="1"/>
      <c r="P859" s="1"/>
      <c r="Q859" s="1"/>
    </row>
    <row r="860">
      <c r="C860" s="87"/>
      <c r="F860" s="1"/>
      <c r="N860" s="1"/>
      <c r="O860" s="1"/>
      <c r="P860" s="1"/>
      <c r="Q860" s="1"/>
    </row>
    <row r="861">
      <c r="C861" s="87"/>
      <c r="F861" s="1"/>
      <c r="N861" s="1"/>
      <c r="O861" s="1"/>
      <c r="P861" s="1"/>
      <c r="Q861" s="1"/>
    </row>
    <row r="862">
      <c r="C862" s="87"/>
      <c r="F862" s="1"/>
      <c r="N862" s="1"/>
      <c r="O862" s="1"/>
      <c r="P862" s="1"/>
      <c r="Q862" s="1"/>
    </row>
    <row r="863">
      <c r="C863" s="87"/>
      <c r="F863" s="1"/>
      <c r="N863" s="1"/>
      <c r="O863" s="1"/>
      <c r="P863" s="1"/>
      <c r="Q863" s="1"/>
    </row>
    <row r="864">
      <c r="C864" s="87"/>
      <c r="F864" s="1"/>
      <c r="N864" s="1"/>
      <c r="O864" s="1"/>
      <c r="P864" s="1"/>
      <c r="Q864" s="1"/>
    </row>
    <row r="865">
      <c r="C865" s="87"/>
      <c r="F865" s="1"/>
      <c r="N865" s="1"/>
      <c r="O865" s="1"/>
      <c r="P865" s="1"/>
      <c r="Q865" s="1"/>
    </row>
    <row r="866">
      <c r="C866" s="87"/>
      <c r="F866" s="1"/>
      <c r="N866" s="1"/>
      <c r="O866" s="1"/>
      <c r="P866" s="1"/>
      <c r="Q866" s="1"/>
    </row>
    <row r="867">
      <c r="C867" s="87"/>
      <c r="F867" s="1"/>
      <c r="N867" s="1"/>
      <c r="O867" s="1"/>
      <c r="P867" s="1"/>
      <c r="Q867" s="1"/>
    </row>
    <row r="868">
      <c r="C868" s="87"/>
      <c r="F868" s="1"/>
      <c r="N868" s="1"/>
      <c r="O868" s="1"/>
      <c r="P868" s="1"/>
      <c r="Q868" s="1"/>
    </row>
    <row r="869">
      <c r="C869" s="87"/>
      <c r="F869" s="1"/>
      <c r="N869" s="1"/>
      <c r="O869" s="1"/>
      <c r="P869" s="1"/>
      <c r="Q869" s="1"/>
    </row>
    <row r="870">
      <c r="C870" s="87"/>
      <c r="F870" s="1"/>
      <c r="N870" s="1"/>
      <c r="O870" s="1"/>
      <c r="P870" s="1"/>
      <c r="Q870" s="1"/>
    </row>
    <row r="871">
      <c r="C871" s="87"/>
      <c r="F871" s="1"/>
      <c r="N871" s="1"/>
      <c r="O871" s="1"/>
      <c r="P871" s="1"/>
      <c r="Q871" s="1"/>
    </row>
    <row r="872">
      <c r="C872" s="87"/>
      <c r="F872" s="1"/>
      <c r="N872" s="1"/>
      <c r="O872" s="1"/>
      <c r="P872" s="1"/>
      <c r="Q872" s="1"/>
    </row>
    <row r="873">
      <c r="C873" s="87"/>
      <c r="F873" s="1"/>
      <c r="N873" s="1"/>
      <c r="O873" s="1"/>
      <c r="P873" s="1"/>
      <c r="Q873" s="1"/>
    </row>
    <row r="874">
      <c r="C874" s="87"/>
      <c r="F874" s="1"/>
      <c r="N874" s="1"/>
      <c r="O874" s="1"/>
      <c r="P874" s="1"/>
      <c r="Q874" s="1"/>
    </row>
    <row r="875">
      <c r="C875" s="87"/>
      <c r="F875" s="1"/>
      <c r="N875" s="1"/>
      <c r="O875" s="1"/>
      <c r="P875" s="1"/>
      <c r="Q875" s="1"/>
    </row>
    <row r="876">
      <c r="C876" s="87"/>
      <c r="F876" s="1"/>
      <c r="N876" s="1"/>
      <c r="O876" s="1"/>
      <c r="P876" s="1"/>
      <c r="Q876" s="1"/>
    </row>
    <row r="877">
      <c r="C877" s="87"/>
      <c r="F877" s="1"/>
      <c r="N877" s="1"/>
      <c r="O877" s="1"/>
      <c r="P877" s="1"/>
      <c r="Q877" s="1"/>
    </row>
    <row r="878">
      <c r="C878" s="87"/>
      <c r="F878" s="1"/>
      <c r="N878" s="1"/>
      <c r="O878" s="1"/>
      <c r="P878" s="1"/>
      <c r="Q878" s="1"/>
    </row>
    <row r="879">
      <c r="C879" s="87"/>
      <c r="F879" s="1"/>
      <c r="N879" s="1"/>
      <c r="O879" s="1"/>
      <c r="P879" s="1"/>
      <c r="Q879" s="1"/>
    </row>
    <row r="880">
      <c r="C880" s="87"/>
      <c r="F880" s="1"/>
      <c r="N880" s="1"/>
      <c r="O880" s="1"/>
      <c r="P880" s="1"/>
      <c r="Q880" s="1"/>
    </row>
    <row r="881">
      <c r="C881" s="87"/>
      <c r="F881" s="1"/>
      <c r="N881" s="1"/>
      <c r="O881" s="1"/>
      <c r="P881" s="1"/>
      <c r="Q881" s="1"/>
    </row>
    <row r="882">
      <c r="C882" s="87"/>
      <c r="F882" s="1"/>
      <c r="N882" s="1"/>
      <c r="O882" s="1"/>
      <c r="P882" s="1"/>
      <c r="Q882" s="1"/>
    </row>
    <row r="883">
      <c r="C883" s="87"/>
      <c r="F883" s="1"/>
      <c r="N883" s="1"/>
      <c r="O883" s="1"/>
      <c r="P883" s="1"/>
      <c r="Q883" s="1"/>
    </row>
    <row r="884">
      <c r="C884" s="87"/>
      <c r="F884" s="1"/>
      <c r="N884" s="1"/>
      <c r="O884" s="1"/>
      <c r="P884" s="1"/>
      <c r="Q884" s="1"/>
    </row>
    <row r="885">
      <c r="C885" s="87"/>
      <c r="F885" s="1"/>
      <c r="N885" s="1"/>
      <c r="O885" s="1"/>
      <c r="P885" s="1"/>
      <c r="Q885" s="1"/>
    </row>
    <row r="886">
      <c r="C886" s="87"/>
      <c r="F886" s="1"/>
      <c r="N886" s="1"/>
      <c r="O886" s="1"/>
      <c r="P886" s="1"/>
      <c r="Q886" s="1"/>
    </row>
    <row r="887">
      <c r="C887" s="87"/>
      <c r="F887" s="1"/>
      <c r="N887" s="1"/>
      <c r="O887" s="1"/>
      <c r="P887" s="1"/>
      <c r="Q887" s="1"/>
    </row>
    <row r="888">
      <c r="C888" s="87"/>
      <c r="F888" s="1"/>
      <c r="N888" s="1"/>
      <c r="O888" s="1"/>
      <c r="P888" s="1"/>
      <c r="Q888" s="1"/>
    </row>
    <row r="889">
      <c r="C889" s="87"/>
      <c r="F889" s="1"/>
      <c r="N889" s="1"/>
      <c r="O889" s="1"/>
      <c r="P889" s="1"/>
      <c r="Q889" s="1"/>
    </row>
    <row r="890">
      <c r="C890" s="87"/>
      <c r="F890" s="1"/>
      <c r="N890" s="1"/>
      <c r="O890" s="1"/>
      <c r="P890" s="1"/>
      <c r="Q890" s="1"/>
    </row>
    <row r="891">
      <c r="C891" s="87"/>
      <c r="F891" s="1"/>
      <c r="N891" s="1"/>
      <c r="O891" s="1"/>
      <c r="P891" s="1"/>
      <c r="Q891" s="1"/>
    </row>
    <row r="892">
      <c r="C892" s="87"/>
      <c r="F892" s="1"/>
      <c r="N892" s="1"/>
      <c r="O892" s="1"/>
      <c r="P892" s="1"/>
      <c r="Q892" s="1"/>
    </row>
    <row r="893">
      <c r="C893" s="87"/>
      <c r="F893" s="1"/>
      <c r="N893" s="1"/>
      <c r="O893" s="1"/>
      <c r="P893" s="1"/>
      <c r="Q893" s="1"/>
    </row>
    <row r="894">
      <c r="C894" s="87"/>
      <c r="F894" s="1"/>
      <c r="N894" s="1"/>
      <c r="O894" s="1"/>
      <c r="P894" s="1"/>
      <c r="Q894" s="1"/>
    </row>
    <row r="895">
      <c r="C895" s="87"/>
      <c r="F895" s="1"/>
      <c r="N895" s="1"/>
      <c r="O895" s="1"/>
      <c r="P895" s="1"/>
      <c r="Q895" s="1"/>
    </row>
    <row r="896">
      <c r="C896" s="87"/>
      <c r="F896" s="1"/>
      <c r="N896" s="1"/>
      <c r="O896" s="1"/>
      <c r="P896" s="1"/>
      <c r="Q896" s="1"/>
    </row>
    <row r="897">
      <c r="C897" s="87"/>
      <c r="F897" s="1"/>
      <c r="N897" s="1"/>
      <c r="O897" s="1"/>
      <c r="P897" s="1"/>
      <c r="Q897" s="1"/>
    </row>
    <row r="898">
      <c r="C898" s="87"/>
      <c r="F898" s="1"/>
      <c r="N898" s="1"/>
      <c r="O898" s="1"/>
      <c r="P898" s="1"/>
      <c r="Q898" s="1"/>
    </row>
    <row r="899">
      <c r="C899" s="87"/>
      <c r="F899" s="1"/>
      <c r="N899" s="1"/>
      <c r="O899" s="1"/>
      <c r="P899" s="1"/>
      <c r="Q899" s="1"/>
    </row>
    <row r="900">
      <c r="C900" s="87"/>
      <c r="F900" s="1"/>
      <c r="N900" s="1"/>
      <c r="O900" s="1"/>
      <c r="P900" s="1"/>
      <c r="Q900" s="1"/>
    </row>
    <row r="901">
      <c r="C901" s="87"/>
      <c r="F901" s="1"/>
      <c r="N901" s="1"/>
      <c r="O901" s="1"/>
      <c r="P901" s="1"/>
      <c r="Q901" s="1"/>
    </row>
    <row r="902">
      <c r="C902" s="87"/>
      <c r="F902" s="1"/>
      <c r="N902" s="1"/>
      <c r="O902" s="1"/>
      <c r="P902" s="1"/>
      <c r="Q902" s="1"/>
    </row>
    <row r="903">
      <c r="C903" s="87"/>
      <c r="F903" s="1"/>
      <c r="N903" s="1"/>
      <c r="O903" s="1"/>
      <c r="P903" s="1"/>
      <c r="Q903" s="1"/>
    </row>
    <row r="904">
      <c r="C904" s="87"/>
      <c r="F904" s="1"/>
      <c r="N904" s="1"/>
      <c r="O904" s="1"/>
      <c r="P904" s="1"/>
      <c r="Q904" s="1"/>
    </row>
    <row r="905">
      <c r="C905" s="87"/>
      <c r="F905" s="1"/>
      <c r="N905" s="1"/>
      <c r="O905" s="1"/>
      <c r="P905" s="1"/>
      <c r="Q905" s="1"/>
    </row>
    <row r="906">
      <c r="C906" s="87"/>
      <c r="F906" s="1"/>
      <c r="N906" s="1"/>
      <c r="O906" s="1"/>
      <c r="P906" s="1"/>
      <c r="Q906" s="1"/>
    </row>
    <row r="907">
      <c r="C907" s="87"/>
      <c r="F907" s="1"/>
      <c r="N907" s="1"/>
      <c r="O907" s="1"/>
      <c r="P907" s="1"/>
      <c r="Q907" s="1"/>
    </row>
    <row r="908">
      <c r="C908" s="87"/>
      <c r="F908" s="1"/>
      <c r="N908" s="1"/>
      <c r="O908" s="1"/>
      <c r="P908" s="1"/>
      <c r="Q908" s="1"/>
    </row>
    <row r="909">
      <c r="C909" s="87"/>
      <c r="F909" s="1"/>
      <c r="N909" s="1"/>
      <c r="O909" s="1"/>
      <c r="P909" s="1"/>
      <c r="Q909" s="1"/>
    </row>
    <row r="910">
      <c r="C910" s="87"/>
      <c r="F910" s="1"/>
      <c r="N910" s="1"/>
      <c r="O910" s="1"/>
      <c r="P910" s="1"/>
      <c r="Q910" s="1"/>
    </row>
    <row r="911">
      <c r="C911" s="87"/>
      <c r="F911" s="1"/>
      <c r="N911" s="1"/>
      <c r="O911" s="1"/>
      <c r="P911" s="1"/>
      <c r="Q911" s="1"/>
    </row>
    <row r="912">
      <c r="C912" s="87"/>
      <c r="F912" s="1"/>
      <c r="N912" s="1"/>
      <c r="O912" s="1"/>
      <c r="P912" s="1"/>
      <c r="Q912" s="1"/>
    </row>
    <row r="913">
      <c r="C913" s="87"/>
      <c r="F913" s="1"/>
      <c r="N913" s="1"/>
      <c r="O913" s="1"/>
      <c r="P913" s="1"/>
      <c r="Q913" s="1"/>
    </row>
    <row r="914">
      <c r="C914" s="87"/>
      <c r="F914" s="1"/>
      <c r="N914" s="1"/>
      <c r="O914" s="1"/>
      <c r="P914" s="1"/>
      <c r="Q914" s="1"/>
    </row>
    <row r="915">
      <c r="C915" s="87"/>
      <c r="F915" s="1"/>
      <c r="N915" s="1"/>
      <c r="O915" s="1"/>
      <c r="P915" s="1"/>
      <c r="Q915" s="1"/>
    </row>
    <row r="916">
      <c r="C916" s="87"/>
      <c r="F916" s="1"/>
      <c r="N916" s="1"/>
      <c r="O916" s="1"/>
      <c r="P916" s="1"/>
      <c r="Q916" s="1"/>
    </row>
    <row r="917">
      <c r="C917" s="87"/>
      <c r="F917" s="1"/>
      <c r="N917" s="1"/>
      <c r="O917" s="1"/>
      <c r="P917" s="1"/>
      <c r="Q917" s="1"/>
    </row>
    <row r="918">
      <c r="C918" s="87"/>
      <c r="F918" s="1"/>
      <c r="N918" s="1"/>
      <c r="O918" s="1"/>
      <c r="P918" s="1"/>
      <c r="Q918" s="1"/>
    </row>
    <row r="919">
      <c r="C919" s="87"/>
      <c r="F919" s="1"/>
      <c r="N919" s="1"/>
      <c r="O919" s="1"/>
      <c r="P919" s="1"/>
      <c r="Q919" s="1"/>
    </row>
    <row r="920">
      <c r="C920" s="87"/>
      <c r="F920" s="1"/>
      <c r="N920" s="1"/>
      <c r="O920" s="1"/>
      <c r="P920" s="1"/>
      <c r="Q920" s="1"/>
    </row>
    <row r="921">
      <c r="C921" s="87"/>
      <c r="F921" s="1"/>
      <c r="N921" s="1"/>
      <c r="O921" s="1"/>
      <c r="P921" s="1"/>
      <c r="Q921" s="1"/>
    </row>
    <row r="922">
      <c r="C922" s="87"/>
      <c r="F922" s="1"/>
      <c r="N922" s="1"/>
      <c r="O922" s="1"/>
      <c r="P922" s="1"/>
      <c r="Q922" s="1"/>
    </row>
    <row r="923">
      <c r="C923" s="87"/>
      <c r="F923" s="1"/>
      <c r="N923" s="1"/>
      <c r="O923" s="1"/>
      <c r="P923" s="1"/>
      <c r="Q923" s="1"/>
    </row>
    <row r="924">
      <c r="C924" s="87"/>
      <c r="F924" s="1"/>
      <c r="N924" s="1"/>
      <c r="O924" s="1"/>
      <c r="P924" s="1"/>
      <c r="Q924" s="1"/>
    </row>
    <row r="925">
      <c r="C925" s="87"/>
      <c r="F925" s="1"/>
      <c r="N925" s="1"/>
      <c r="O925" s="1"/>
      <c r="P925" s="1"/>
      <c r="Q925" s="1"/>
    </row>
    <row r="926">
      <c r="C926" s="87"/>
      <c r="F926" s="1"/>
      <c r="N926" s="1"/>
      <c r="O926" s="1"/>
      <c r="P926" s="1"/>
      <c r="Q926" s="1"/>
    </row>
    <row r="927">
      <c r="C927" s="87"/>
      <c r="F927" s="1"/>
      <c r="N927" s="1"/>
      <c r="O927" s="1"/>
      <c r="P927" s="1"/>
      <c r="Q927" s="1"/>
    </row>
    <row r="928">
      <c r="C928" s="87"/>
      <c r="F928" s="1"/>
      <c r="N928" s="1"/>
      <c r="O928" s="1"/>
      <c r="P928" s="1"/>
      <c r="Q928" s="1"/>
    </row>
    <row r="929">
      <c r="C929" s="87"/>
      <c r="F929" s="1"/>
      <c r="N929" s="1"/>
      <c r="O929" s="1"/>
      <c r="P929" s="1"/>
      <c r="Q929" s="1"/>
    </row>
    <row r="930">
      <c r="C930" s="87"/>
      <c r="F930" s="1"/>
      <c r="N930" s="1"/>
      <c r="O930" s="1"/>
      <c r="P930" s="1"/>
      <c r="Q930" s="1"/>
    </row>
    <row r="931">
      <c r="C931" s="87"/>
      <c r="F931" s="1"/>
      <c r="N931" s="1"/>
      <c r="O931" s="1"/>
      <c r="P931" s="1"/>
      <c r="Q931" s="1"/>
    </row>
    <row r="932">
      <c r="C932" s="87"/>
      <c r="F932" s="1"/>
      <c r="N932" s="1"/>
      <c r="O932" s="1"/>
      <c r="P932" s="1"/>
      <c r="Q932" s="1"/>
    </row>
    <row r="933">
      <c r="C933" s="87"/>
      <c r="F933" s="1"/>
      <c r="N933" s="1"/>
      <c r="O933" s="1"/>
      <c r="P933" s="1"/>
      <c r="Q933" s="1"/>
    </row>
    <row r="934">
      <c r="C934" s="87"/>
      <c r="F934" s="1"/>
      <c r="N934" s="1"/>
      <c r="O934" s="1"/>
      <c r="P934" s="1"/>
      <c r="Q934" s="1"/>
    </row>
    <row r="935">
      <c r="C935" s="87"/>
      <c r="F935" s="1"/>
      <c r="N935" s="1"/>
      <c r="O935" s="1"/>
      <c r="P935" s="1"/>
      <c r="Q935" s="1"/>
    </row>
    <row r="936">
      <c r="C936" s="87"/>
      <c r="F936" s="1"/>
      <c r="N936" s="1"/>
      <c r="O936" s="1"/>
      <c r="P936" s="1"/>
      <c r="Q936" s="1"/>
    </row>
    <row r="937">
      <c r="C937" s="87"/>
      <c r="F937" s="1"/>
      <c r="N937" s="1"/>
      <c r="O937" s="1"/>
      <c r="P937" s="1"/>
      <c r="Q937" s="1"/>
    </row>
    <row r="938">
      <c r="C938" s="87"/>
      <c r="F938" s="1"/>
      <c r="N938" s="1"/>
      <c r="O938" s="1"/>
      <c r="P938" s="1"/>
      <c r="Q938" s="1"/>
    </row>
    <row r="939">
      <c r="C939" s="87"/>
      <c r="F939" s="1"/>
      <c r="N939" s="1"/>
      <c r="O939" s="1"/>
      <c r="P939" s="1"/>
      <c r="Q939" s="1"/>
    </row>
    <row r="940">
      <c r="C940" s="87"/>
      <c r="F940" s="1"/>
      <c r="N940" s="1"/>
      <c r="O940" s="1"/>
      <c r="P940" s="1"/>
      <c r="Q940" s="1"/>
    </row>
    <row r="941">
      <c r="C941" s="87"/>
      <c r="F941" s="1"/>
      <c r="N941" s="1"/>
      <c r="O941" s="1"/>
      <c r="P941" s="1"/>
      <c r="Q941" s="1"/>
    </row>
    <row r="942">
      <c r="C942" s="87"/>
      <c r="F942" s="1"/>
      <c r="N942" s="1"/>
      <c r="O942" s="1"/>
      <c r="P942" s="1"/>
      <c r="Q942" s="1"/>
    </row>
    <row r="943">
      <c r="C943" s="87"/>
      <c r="F943" s="1"/>
      <c r="N943" s="1"/>
      <c r="O943" s="1"/>
      <c r="P943" s="1"/>
      <c r="Q943" s="1"/>
    </row>
    <row r="944">
      <c r="C944" s="87"/>
      <c r="F944" s="1"/>
      <c r="N944" s="1"/>
      <c r="O944" s="1"/>
      <c r="P944" s="1"/>
      <c r="Q944" s="1"/>
    </row>
    <row r="945">
      <c r="C945" s="87"/>
      <c r="F945" s="1"/>
      <c r="N945" s="1"/>
      <c r="O945" s="1"/>
      <c r="P945" s="1"/>
      <c r="Q945" s="1"/>
    </row>
    <row r="946">
      <c r="C946" s="87"/>
      <c r="F946" s="1"/>
      <c r="N946" s="1"/>
      <c r="O946" s="1"/>
      <c r="P946" s="1"/>
      <c r="Q946" s="1"/>
    </row>
    <row r="947">
      <c r="C947" s="87"/>
      <c r="F947" s="1"/>
      <c r="N947" s="1"/>
      <c r="O947" s="1"/>
      <c r="P947" s="1"/>
      <c r="Q947" s="1"/>
    </row>
    <row r="948">
      <c r="C948" s="87"/>
      <c r="F948" s="1"/>
      <c r="N948" s="1"/>
      <c r="O948" s="1"/>
      <c r="P948" s="1"/>
      <c r="Q948" s="1"/>
    </row>
    <row r="949">
      <c r="C949" s="87"/>
      <c r="F949" s="1"/>
      <c r="N949" s="1"/>
      <c r="O949" s="1"/>
      <c r="P949" s="1"/>
      <c r="Q949" s="1"/>
    </row>
    <row r="950">
      <c r="C950" s="87"/>
      <c r="F950" s="1"/>
      <c r="N950" s="1"/>
      <c r="O950" s="1"/>
      <c r="P950" s="1"/>
      <c r="Q950" s="1"/>
    </row>
    <row r="951">
      <c r="C951" s="87"/>
      <c r="F951" s="1"/>
      <c r="N951" s="1"/>
      <c r="O951" s="1"/>
      <c r="P951" s="1"/>
      <c r="Q951" s="1"/>
    </row>
    <row r="952">
      <c r="C952" s="87"/>
      <c r="F952" s="1"/>
      <c r="N952" s="1"/>
      <c r="O952" s="1"/>
      <c r="P952" s="1"/>
      <c r="Q952" s="1"/>
    </row>
    <row r="953">
      <c r="C953" s="87"/>
      <c r="F953" s="1"/>
      <c r="N953" s="1"/>
      <c r="O953" s="1"/>
      <c r="P953" s="1"/>
      <c r="Q953" s="1"/>
    </row>
    <row r="954">
      <c r="C954" s="87"/>
      <c r="F954" s="1"/>
      <c r="N954" s="1"/>
      <c r="O954" s="1"/>
      <c r="P954" s="1"/>
      <c r="Q954" s="1"/>
    </row>
    <row r="955">
      <c r="C955" s="87"/>
      <c r="F955" s="1"/>
      <c r="N955" s="1"/>
      <c r="O955" s="1"/>
      <c r="P955" s="1"/>
      <c r="Q955" s="1"/>
    </row>
    <row r="956">
      <c r="C956" s="87"/>
      <c r="F956" s="1"/>
      <c r="N956" s="1"/>
      <c r="O956" s="1"/>
      <c r="P956" s="1"/>
      <c r="Q956" s="1"/>
    </row>
    <row r="957">
      <c r="C957" s="87"/>
      <c r="F957" s="1"/>
      <c r="N957" s="1"/>
      <c r="O957" s="1"/>
      <c r="P957" s="1"/>
      <c r="Q957" s="1"/>
    </row>
    <row r="958">
      <c r="C958" s="87"/>
      <c r="F958" s="1"/>
      <c r="N958" s="1"/>
      <c r="O958" s="1"/>
      <c r="P958" s="1"/>
      <c r="Q958" s="1"/>
    </row>
    <row r="959">
      <c r="C959" s="87"/>
      <c r="F959" s="1"/>
      <c r="N959" s="1"/>
      <c r="O959" s="1"/>
      <c r="P959" s="1"/>
      <c r="Q959" s="1"/>
    </row>
    <row r="960">
      <c r="C960" s="87"/>
      <c r="F960" s="1"/>
      <c r="N960" s="1"/>
      <c r="O960" s="1"/>
      <c r="P960" s="1"/>
      <c r="Q960" s="1"/>
    </row>
    <row r="961">
      <c r="C961" s="87"/>
      <c r="F961" s="1"/>
      <c r="N961" s="1"/>
      <c r="O961" s="1"/>
      <c r="P961" s="1"/>
      <c r="Q961" s="1"/>
    </row>
    <row r="962">
      <c r="C962" s="87"/>
      <c r="F962" s="1"/>
      <c r="N962" s="1"/>
      <c r="O962" s="1"/>
      <c r="P962" s="1"/>
      <c r="Q962" s="1"/>
    </row>
    <row r="963">
      <c r="C963" s="87"/>
      <c r="F963" s="1"/>
      <c r="N963" s="1"/>
      <c r="O963" s="1"/>
      <c r="P963" s="1"/>
      <c r="Q963" s="1"/>
    </row>
    <row r="964">
      <c r="C964" s="87"/>
      <c r="F964" s="1"/>
      <c r="N964" s="1"/>
      <c r="O964" s="1"/>
      <c r="P964" s="1"/>
      <c r="Q964" s="1"/>
    </row>
    <row r="965">
      <c r="C965" s="87"/>
      <c r="F965" s="1"/>
      <c r="N965" s="1"/>
      <c r="O965" s="1"/>
      <c r="P965" s="1"/>
      <c r="Q965" s="1"/>
    </row>
    <row r="966">
      <c r="C966" s="87"/>
      <c r="F966" s="1"/>
      <c r="N966" s="1"/>
      <c r="O966" s="1"/>
      <c r="P966" s="1"/>
      <c r="Q966" s="1"/>
    </row>
    <row r="967">
      <c r="C967" s="87"/>
      <c r="F967" s="1"/>
      <c r="N967" s="1"/>
      <c r="O967" s="1"/>
      <c r="P967" s="1"/>
      <c r="Q967" s="1"/>
    </row>
    <row r="968">
      <c r="C968" s="87"/>
      <c r="F968" s="1"/>
      <c r="N968" s="1"/>
      <c r="O968" s="1"/>
      <c r="P968" s="1"/>
      <c r="Q968" s="1"/>
    </row>
    <row r="969">
      <c r="C969" s="87"/>
      <c r="F969" s="1"/>
      <c r="N969" s="1"/>
      <c r="O969" s="1"/>
      <c r="P969" s="1"/>
      <c r="Q969" s="1"/>
    </row>
    <row r="970">
      <c r="C970" s="87"/>
      <c r="F970" s="1"/>
      <c r="N970" s="1"/>
      <c r="O970" s="1"/>
      <c r="P970" s="1"/>
      <c r="Q970" s="1"/>
    </row>
    <row r="971">
      <c r="C971" s="87"/>
      <c r="F971" s="1"/>
      <c r="N971" s="1"/>
      <c r="O971" s="1"/>
      <c r="P971" s="1"/>
      <c r="Q971" s="1"/>
    </row>
    <row r="972">
      <c r="C972" s="87"/>
      <c r="F972" s="1"/>
      <c r="N972" s="1"/>
      <c r="O972" s="1"/>
      <c r="P972" s="1"/>
      <c r="Q972" s="1"/>
    </row>
    <row r="973">
      <c r="C973" s="87"/>
      <c r="F973" s="1"/>
      <c r="N973" s="1"/>
      <c r="O973" s="1"/>
      <c r="P973" s="1"/>
      <c r="Q973" s="1"/>
    </row>
    <row r="974">
      <c r="C974" s="87"/>
      <c r="F974" s="1"/>
      <c r="N974" s="1"/>
      <c r="O974" s="1"/>
      <c r="P974" s="1"/>
      <c r="Q974" s="1"/>
    </row>
    <row r="975">
      <c r="C975" s="87"/>
      <c r="F975" s="1"/>
      <c r="N975" s="1"/>
      <c r="O975" s="1"/>
      <c r="P975" s="1"/>
      <c r="Q975" s="1"/>
    </row>
    <row r="976">
      <c r="C976" s="87"/>
      <c r="F976" s="1"/>
      <c r="N976" s="1"/>
      <c r="O976" s="1"/>
      <c r="P976" s="1"/>
      <c r="Q976" s="1"/>
    </row>
    <row r="977">
      <c r="C977" s="87"/>
      <c r="F977" s="1"/>
      <c r="N977" s="1"/>
      <c r="O977" s="1"/>
      <c r="P977" s="1"/>
      <c r="Q977" s="1"/>
    </row>
    <row r="978">
      <c r="C978" s="87"/>
      <c r="F978" s="1"/>
      <c r="N978" s="1"/>
      <c r="O978" s="1"/>
      <c r="P978" s="1"/>
      <c r="Q978" s="1"/>
    </row>
    <row r="979">
      <c r="C979" s="87"/>
      <c r="F979" s="1"/>
      <c r="N979" s="1"/>
      <c r="O979" s="1"/>
      <c r="P979" s="1"/>
      <c r="Q979" s="1"/>
    </row>
    <row r="980">
      <c r="C980" s="87"/>
      <c r="F980" s="1"/>
      <c r="N980" s="1"/>
      <c r="O980" s="1"/>
      <c r="P980" s="1"/>
      <c r="Q980" s="1"/>
    </row>
    <row r="981">
      <c r="C981" s="87"/>
      <c r="F981" s="1"/>
      <c r="N981" s="1"/>
      <c r="O981" s="1"/>
      <c r="P981" s="1"/>
      <c r="Q981" s="1"/>
    </row>
    <row r="982">
      <c r="C982" s="87"/>
      <c r="F982" s="1"/>
      <c r="N982" s="1"/>
      <c r="O982" s="1"/>
      <c r="P982" s="1"/>
      <c r="Q982" s="1"/>
    </row>
    <row r="983">
      <c r="C983" s="87"/>
      <c r="F983" s="1"/>
      <c r="N983" s="1"/>
      <c r="O983" s="1"/>
      <c r="P983" s="1"/>
      <c r="Q983" s="1"/>
    </row>
    <row r="984">
      <c r="C984" s="87"/>
      <c r="F984" s="1"/>
      <c r="N984" s="1"/>
      <c r="O984" s="1"/>
      <c r="P984" s="1"/>
      <c r="Q984" s="1"/>
    </row>
    <row r="985">
      <c r="C985" s="87"/>
      <c r="F985" s="1"/>
      <c r="N985" s="1"/>
      <c r="O985" s="1"/>
      <c r="P985" s="1"/>
      <c r="Q985" s="1"/>
    </row>
    <row r="986">
      <c r="C986" s="87"/>
      <c r="F986" s="1"/>
      <c r="N986" s="1"/>
      <c r="O986" s="1"/>
      <c r="P986" s="1"/>
      <c r="Q986" s="1"/>
    </row>
    <row r="987">
      <c r="C987" s="87"/>
      <c r="F987" s="1"/>
      <c r="N987" s="1"/>
      <c r="O987" s="1"/>
      <c r="P987" s="1"/>
      <c r="Q987" s="1"/>
    </row>
    <row r="988">
      <c r="C988" s="87"/>
      <c r="F988" s="1"/>
      <c r="N988" s="1"/>
      <c r="O988" s="1"/>
      <c r="P988" s="1"/>
      <c r="Q988" s="1"/>
    </row>
    <row r="989">
      <c r="C989" s="87"/>
      <c r="F989" s="1"/>
      <c r="N989" s="1"/>
      <c r="O989" s="1"/>
      <c r="P989" s="1"/>
      <c r="Q989" s="1"/>
    </row>
    <row r="990">
      <c r="C990" s="87"/>
      <c r="F990" s="1"/>
      <c r="N990" s="1"/>
      <c r="O990" s="1"/>
      <c r="P990" s="1"/>
      <c r="Q990" s="1"/>
    </row>
    <row r="991">
      <c r="C991" s="87"/>
      <c r="F991" s="1"/>
      <c r="N991" s="1"/>
      <c r="O991" s="1"/>
      <c r="P991" s="1"/>
      <c r="Q991" s="1"/>
    </row>
    <row r="992">
      <c r="C992" s="87"/>
      <c r="F992" s="1"/>
      <c r="N992" s="1"/>
      <c r="O992" s="1"/>
      <c r="P992" s="1"/>
      <c r="Q992" s="1"/>
    </row>
    <row r="993">
      <c r="C993" s="87"/>
      <c r="F993" s="1"/>
      <c r="N993" s="1"/>
      <c r="O993" s="1"/>
      <c r="P993" s="1"/>
      <c r="Q993" s="1"/>
    </row>
    <row r="994">
      <c r="C994" s="87"/>
      <c r="F994" s="1"/>
      <c r="N994" s="1"/>
      <c r="O994" s="1"/>
      <c r="P994" s="1"/>
      <c r="Q994" s="1"/>
    </row>
    <row r="995">
      <c r="C995" s="87"/>
      <c r="F995" s="1"/>
      <c r="N995" s="1"/>
      <c r="O995" s="1"/>
      <c r="P995" s="1"/>
      <c r="Q995" s="1"/>
    </row>
    <row r="996">
      <c r="C996" s="87"/>
      <c r="F996" s="1"/>
      <c r="N996" s="1"/>
      <c r="O996" s="1"/>
      <c r="P996" s="1"/>
      <c r="Q996" s="1"/>
    </row>
    <row r="997">
      <c r="C997" s="87"/>
      <c r="F997" s="1"/>
      <c r="N997" s="1"/>
      <c r="O997" s="1"/>
      <c r="P997" s="1"/>
      <c r="Q997" s="1"/>
    </row>
  </sheetData>
  <dataValidations>
    <dataValidation type="list" allowBlank="1" showErrorMessage="1" sqref="G3">
      <formula1>'Поиск'!$F:$F</formula1>
    </dataValidation>
    <dataValidation type="list" allowBlank="1" showErrorMessage="1" sqref="A3">
      <formula1>"Фокус на ценностях,Фокус на благополучателе,Фокус на секторе,Фокус на социокультурных благах,Фокус на художественной ценности"</formula1>
    </dataValidation>
    <dataValidation type="list" allowBlank="1" showErrorMessage="1" sqref="D3">
      <formula1>'Поиск'!$C:$C</formula1>
    </dataValidation>
    <dataValidation type="list" allowBlank="1" showErrorMessage="1" sqref="K3">
      <formula1>'Поиск'!$J:$J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8.25"/>
    <col customWidth="1" min="3" max="3" width="38.5"/>
    <col customWidth="1" min="4" max="4" width="17.38"/>
    <col customWidth="1" min="5" max="5" width="28.13"/>
  </cols>
  <sheetData>
    <row r="1" ht="22.5" customHeight="1">
      <c r="A1" s="13" t="s">
        <v>2</v>
      </c>
      <c r="B1" s="15" t="s">
        <v>13</v>
      </c>
      <c r="C1" s="13" t="s">
        <v>3</v>
      </c>
      <c r="D1" s="13" t="s">
        <v>17</v>
      </c>
      <c r="E1" s="13" t="s">
        <v>19</v>
      </c>
    </row>
    <row r="2" ht="22.5" customHeight="1">
      <c r="A2" s="23"/>
      <c r="B2" s="25"/>
      <c r="C2" s="25"/>
    </row>
    <row r="3" ht="22.5" customHeight="1">
      <c r="A3" s="23"/>
      <c r="B3" s="25"/>
      <c r="C3" s="25"/>
    </row>
    <row r="4" ht="22.5" customHeight="1">
      <c r="A4" s="40"/>
      <c r="B4" s="43"/>
      <c r="C4" s="43"/>
      <c r="D4" s="46"/>
    </row>
    <row r="5" ht="22.5" customHeight="1">
      <c r="A5" s="40"/>
      <c r="B5" s="43"/>
      <c r="C5" s="43"/>
      <c r="D5" s="46"/>
    </row>
    <row r="6" ht="22.5" customHeight="1">
      <c r="A6" s="40"/>
      <c r="B6" s="43"/>
      <c r="C6" s="43"/>
      <c r="D6" s="46"/>
    </row>
    <row r="7" ht="22.5" customHeight="1">
      <c r="A7" s="40"/>
      <c r="B7" s="43"/>
      <c r="C7" s="43"/>
      <c r="D7" s="46"/>
    </row>
    <row r="8" ht="22.5" customHeight="1">
      <c r="A8" s="40"/>
      <c r="B8" s="43"/>
      <c r="C8" s="43"/>
      <c r="D8" s="46"/>
    </row>
    <row r="9" ht="22.5" customHeight="1">
      <c r="A9" s="40"/>
      <c r="B9" s="43"/>
      <c r="C9" s="43"/>
      <c r="D9" s="46"/>
    </row>
    <row r="10" ht="22.5" customHeight="1">
      <c r="A10" s="40"/>
      <c r="B10" s="43"/>
      <c r="C10" s="43"/>
      <c r="D10" s="46"/>
    </row>
    <row r="11" ht="22.5" customHeight="1">
      <c r="A11" s="40"/>
      <c r="B11" s="43"/>
      <c r="C11" s="43"/>
      <c r="D11" s="46"/>
    </row>
    <row r="12" ht="22.5" customHeight="1">
      <c r="A12" s="40"/>
      <c r="B12" s="43"/>
      <c r="C12" s="43"/>
      <c r="D12" s="46"/>
    </row>
    <row r="13" ht="22.5" customHeight="1">
      <c r="A13" s="40"/>
      <c r="B13" s="43"/>
      <c r="C13" s="43"/>
      <c r="D13" s="46"/>
    </row>
    <row r="14" ht="22.5" customHeight="1">
      <c r="A14" s="40"/>
      <c r="B14" s="43"/>
      <c r="C14" s="43"/>
      <c r="D14" s="46"/>
    </row>
    <row r="15" ht="22.5" customHeight="1">
      <c r="A15" s="40"/>
      <c r="B15" s="43"/>
      <c r="C15" s="43"/>
      <c r="D15" s="46"/>
    </row>
    <row r="16" ht="22.5" customHeight="1">
      <c r="A16" s="40"/>
      <c r="B16" s="43"/>
      <c r="C16" s="43"/>
      <c r="D16" s="46"/>
    </row>
    <row r="17" ht="22.5" customHeight="1">
      <c r="A17" s="40"/>
      <c r="B17" s="43"/>
      <c r="C17" s="43"/>
      <c r="D17" s="46"/>
    </row>
    <row r="18" ht="22.5" customHeight="1">
      <c r="A18" s="40"/>
      <c r="B18" s="43"/>
      <c r="C18" s="43"/>
      <c r="D18" s="46"/>
    </row>
    <row r="19" ht="22.5" customHeight="1">
      <c r="A19" s="40"/>
      <c r="B19" s="43"/>
      <c r="C19" s="43"/>
      <c r="D19" s="46"/>
    </row>
    <row r="20" ht="22.5" customHeight="1">
      <c r="A20" s="40"/>
      <c r="B20" s="43"/>
      <c r="C20" s="43"/>
      <c r="D20" s="46"/>
    </row>
    <row r="21" ht="22.5" customHeight="1">
      <c r="A21" s="40"/>
      <c r="B21" s="43"/>
      <c r="C21" s="43"/>
      <c r="D21" s="46"/>
    </row>
    <row r="22" ht="22.5" customHeight="1">
      <c r="A22" s="40"/>
      <c r="B22" s="43"/>
      <c r="C22" s="43"/>
      <c r="D22" s="46"/>
    </row>
    <row r="23" ht="22.5" customHeight="1">
      <c r="A23" s="40"/>
      <c r="B23" s="43"/>
      <c r="C23" s="43"/>
      <c r="D23" s="46"/>
    </row>
    <row r="24" ht="22.5" customHeight="1">
      <c r="A24" s="40"/>
      <c r="B24" s="43"/>
      <c r="C24" s="43"/>
      <c r="D24" s="46"/>
    </row>
    <row r="25" ht="22.5" customHeight="1">
      <c r="A25" s="40"/>
      <c r="B25" s="43"/>
      <c r="C25" s="43"/>
      <c r="D25" s="46"/>
    </row>
    <row r="26" ht="22.5" customHeight="1">
      <c r="A26" s="40"/>
      <c r="B26" s="43"/>
      <c r="C26" s="43"/>
      <c r="D26" s="46"/>
    </row>
    <row r="27" ht="22.5" customHeight="1">
      <c r="A27" s="40"/>
      <c r="B27" s="43"/>
      <c r="C27" s="43"/>
      <c r="D27" s="46"/>
    </row>
    <row r="28" ht="22.5" customHeight="1">
      <c r="A28" s="40"/>
      <c r="B28" s="43"/>
      <c r="C28" s="43"/>
      <c r="D28" s="46"/>
    </row>
    <row r="29" ht="22.5" customHeight="1">
      <c r="A29" s="40"/>
      <c r="B29" s="43"/>
      <c r="C29" s="43"/>
      <c r="D29" s="46"/>
    </row>
    <row r="30" ht="22.5" customHeight="1">
      <c r="A30" s="40"/>
      <c r="B30" s="43"/>
      <c r="C30" s="43"/>
      <c r="D30" s="46"/>
    </row>
    <row r="31" ht="22.5" customHeight="1">
      <c r="A31" s="40"/>
      <c r="B31" s="43"/>
      <c r="C31" s="43"/>
      <c r="D31" s="46"/>
    </row>
    <row r="32" ht="22.5" customHeight="1">
      <c r="A32" s="40"/>
      <c r="B32" s="43"/>
      <c r="C32" s="43"/>
      <c r="D32" s="46"/>
    </row>
    <row r="33" ht="22.5" customHeight="1">
      <c r="A33" s="40"/>
      <c r="B33" s="43"/>
      <c r="C33" s="43"/>
      <c r="D33" s="46"/>
    </row>
    <row r="34" ht="22.5" customHeight="1">
      <c r="A34" s="40"/>
      <c r="B34" s="43"/>
      <c r="C34" s="43"/>
      <c r="D34" s="46"/>
    </row>
    <row r="35" ht="22.5" customHeight="1">
      <c r="A35" s="40"/>
      <c r="B35" s="43"/>
      <c r="C35" s="43"/>
      <c r="D35" s="46"/>
    </row>
    <row r="36" ht="22.5" customHeight="1">
      <c r="A36" s="40"/>
      <c r="B36" s="43"/>
      <c r="C36" s="43"/>
      <c r="D36" s="46"/>
    </row>
    <row r="37" ht="22.5" customHeight="1">
      <c r="A37" s="40"/>
      <c r="B37" s="43"/>
      <c r="C37" s="43"/>
      <c r="D37" s="46"/>
    </row>
    <row r="38" ht="22.5" customHeight="1">
      <c r="A38" s="40"/>
      <c r="B38" s="43"/>
      <c r="C38" s="43"/>
      <c r="D38" s="46"/>
    </row>
    <row r="39" ht="22.5" customHeight="1">
      <c r="A39" s="40"/>
      <c r="B39" s="43"/>
      <c r="C39" s="43"/>
      <c r="D39" s="46"/>
    </row>
    <row r="40" ht="22.5" customHeight="1">
      <c r="A40" s="40"/>
      <c r="B40" s="43"/>
      <c r="C40" s="43"/>
      <c r="D40" s="46"/>
    </row>
    <row r="41" ht="22.5" customHeight="1">
      <c r="A41" s="40"/>
      <c r="B41" s="43"/>
      <c r="C41" s="43"/>
      <c r="D41" s="46"/>
    </row>
    <row r="42" ht="22.5" customHeight="1">
      <c r="A42" s="40"/>
      <c r="B42" s="43"/>
      <c r="C42" s="43"/>
      <c r="D42" s="46"/>
    </row>
    <row r="43" ht="22.5" customHeight="1">
      <c r="A43" s="40"/>
      <c r="B43" s="43"/>
      <c r="C43" s="43"/>
      <c r="D43" s="46"/>
    </row>
    <row r="44" ht="22.5" customHeight="1">
      <c r="A44" s="40"/>
      <c r="B44" s="43"/>
      <c r="C44" s="43"/>
      <c r="D44" s="46"/>
    </row>
    <row r="45" ht="22.5" customHeight="1">
      <c r="A45" s="40"/>
      <c r="B45" s="43"/>
      <c r="C45" s="43"/>
      <c r="D45" s="46"/>
    </row>
    <row r="46" ht="22.5" customHeight="1">
      <c r="A46" s="40"/>
      <c r="B46" s="43"/>
      <c r="C46" s="43"/>
      <c r="D46" s="46"/>
    </row>
    <row r="47" ht="22.5" customHeight="1">
      <c r="A47" s="40"/>
      <c r="B47" s="43"/>
      <c r="C47" s="43"/>
      <c r="D47" s="46"/>
    </row>
    <row r="48" ht="22.5" customHeight="1">
      <c r="A48" s="40"/>
      <c r="B48" s="43"/>
      <c r="C48" s="43"/>
      <c r="D48" s="46"/>
    </row>
    <row r="49" ht="22.5" customHeight="1">
      <c r="A49" s="40"/>
      <c r="B49" s="43"/>
      <c r="C49" s="43"/>
      <c r="D49" s="46"/>
    </row>
    <row r="50" ht="22.5" customHeight="1">
      <c r="A50" s="40"/>
      <c r="B50" s="43"/>
      <c r="C50" s="43"/>
      <c r="D50" s="46"/>
    </row>
  </sheetData>
  <dataValidations>
    <dataValidation type="list" allowBlank="1" sqref="C2:C50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8.25"/>
    <col customWidth="1" min="3" max="3" width="24.13"/>
    <col customWidth="1" min="4" max="4" width="38.5"/>
    <col customWidth="1" min="5" max="5" width="17.38"/>
    <col customWidth="1" min="6" max="6" width="28.13"/>
  </cols>
  <sheetData>
    <row r="1" ht="22.5" customHeight="1">
      <c r="A1" s="13" t="s">
        <v>2</v>
      </c>
      <c r="B1" s="15" t="s">
        <v>12</v>
      </c>
      <c r="C1" s="18" t="s">
        <v>15</v>
      </c>
      <c r="D1" s="13" t="s">
        <v>3</v>
      </c>
      <c r="E1" s="13" t="s">
        <v>17</v>
      </c>
      <c r="F1" s="13" t="s">
        <v>19</v>
      </c>
    </row>
    <row r="2" ht="22.5" customHeight="1">
      <c r="A2" s="28" t="s">
        <v>25</v>
      </c>
      <c r="B2" s="33" t="s">
        <v>28</v>
      </c>
      <c r="C2" s="33" t="s">
        <v>30</v>
      </c>
      <c r="D2" s="25"/>
    </row>
    <row r="3" ht="22.5" customHeight="1">
      <c r="A3" s="28" t="s">
        <v>42</v>
      </c>
      <c r="B3" s="33" t="s">
        <v>28</v>
      </c>
      <c r="C3" s="33" t="s">
        <v>30</v>
      </c>
      <c r="D3" s="25"/>
    </row>
    <row r="4" ht="22.5" customHeight="1">
      <c r="A4" s="57" t="s">
        <v>53</v>
      </c>
      <c r="B4" s="60" t="s">
        <v>28</v>
      </c>
      <c r="C4" s="60" t="s">
        <v>61</v>
      </c>
      <c r="D4" s="43"/>
      <c r="E4" s="46"/>
    </row>
    <row r="5" ht="22.5" customHeight="1">
      <c r="A5" s="57" t="s">
        <v>68</v>
      </c>
      <c r="B5" s="60" t="s">
        <v>28</v>
      </c>
      <c r="C5" s="60" t="s">
        <v>61</v>
      </c>
      <c r="D5" s="43"/>
      <c r="E5" s="46"/>
    </row>
    <row r="6" ht="22.5" customHeight="1">
      <c r="A6" s="23" t="s">
        <v>7</v>
      </c>
      <c r="B6" s="60" t="s">
        <v>28</v>
      </c>
      <c r="C6" s="60" t="s">
        <v>61</v>
      </c>
      <c r="D6" s="43"/>
      <c r="E6" s="46"/>
    </row>
    <row r="7" ht="22.5" customHeight="1">
      <c r="A7" s="28" t="s">
        <v>82</v>
      </c>
      <c r="B7" s="60" t="s">
        <v>83</v>
      </c>
      <c r="C7" s="60" t="s">
        <v>30</v>
      </c>
      <c r="D7" s="43"/>
      <c r="E7" s="46"/>
    </row>
    <row r="8" ht="22.5" customHeight="1">
      <c r="A8" s="28" t="s">
        <v>84</v>
      </c>
      <c r="B8" s="60" t="s">
        <v>83</v>
      </c>
      <c r="C8" s="60" t="s">
        <v>30</v>
      </c>
      <c r="D8" s="43"/>
      <c r="E8" s="46"/>
    </row>
    <row r="9" ht="22.5" customHeight="1">
      <c r="A9" s="28" t="s">
        <v>85</v>
      </c>
      <c r="B9" s="60" t="s">
        <v>83</v>
      </c>
      <c r="C9" s="60" t="s">
        <v>30</v>
      </c>
      <c r="D9" s="43"/>
      <c r="E9" s="46"/>
    </row>
    <row r="10" ht="22.5" customHeight="1">
      <c r="A10" s="57" t="s">
        <v>86</v>
      </c>
      <c r="B10" s="60" t="s">
        <v>83</v>
      </c>
      <c r="C10" s="60" t="s">
        <v>61</v>
      </c>
      <c r="D10" s="43"/>
      <c r="E10" s="46"/>
    </row>
    <row r="11" ht="22.5" customHeight="1">
      <c r="A11" s="57" t="s">
        <v>87</v>
      </c>
      <c r="B11" s="60" t="s">
        <v>83</v>
      </c>
      <c r="C11" s="60" t="s">
        <v>61</v>
      </c>
      <c r="D11" s="43"/>
      <c r="E11" s="46"/>
    </row>
    <row r="12" ht="22.5" customHeight="1">
      <c r="A12" s="57" t="s">
        <v>89</v>
      </c>
      <c r="B12" s="60" t="s">
        <v>83</v>
      </c>
      <c r="C12" s="60" t="s">
        <v>61</v>
      </c>
      <c r="D12" s="43"/>
      <c r="E12" s="46"/>
    </row>
    <row r="13" ht="22.5" customHeight="1">
      <c r="A13" s="57" t="s">
        <v>90</v>
      </c>
      <c r="B13" s="60" t="s">
        <v>83</v>
      </c>
      <c r="C13" s="60" t="s">
        <v>61</v>
      </c>
      <c r="D13" s="43"/>
      <c r="E13" s="46"/>
    </row>
    <row r="14" ht="22.5" customHeight="1">
      <c r="A14" s="57" t="s">
        <v>91</v>
      </c>
      <c r="B14" s="60" t="s">
        <v>83</v>
      </c>
      <c r="C14" s="60" t="s">
        <v>61</v>
      </c>
      <c r="D14" s="43"/>
      <c r="E14" s="46"/>
    </row>
    <row r="15" ht="22.5" customHeight="1">
      <c r="A15" s="28" t="s">
        <v>92</v>
      </c>
      <c r="B15" s="60" t="s">
        <v>93</v>
      </c>
      <c r="C15" s="60" t="s">
        <v>30</v>
      </c>
      <c r="D15" s="43"/>
      <c r="E15" s="46"/>
    </row>
    <row r="16" ht="22.5" customHeight="1">
      <c r="A16" s="28" t="s">
        <v>96</v>
      </c>
      <c r="B16" s="60" t="s">
        <v>93</v>
      </c>
      <c r="C16" s="60" t="s">
        <v>30</v>
      </c>
      <c r="D16" s="43"/>
      <c r="E16" s="46"/>
    </row>
    <row r="17" ht="22.5" customHeight="1">
      <c r="A17" s="28" t="s">
        <v>105</v>
      </c>
      <c r="B17" s="60" t="s">
        <v>93</v>
      </c>
      <c r="C17" s="60" t="s">
        <v>30</v>
      </c>
      <c r="D17" s="43"/>
      <c r="E17" s="46"/>
    </row>
    <row r="18" ht="22.5" customHeight="1">
      <c r="A18" s="28" t="s">
        <v>106</v>
      </c>
      <c r="B18" s="60" t="s">
        <v>93</v>
      </c>
      <c r="C18" s="60" t="s">
        <v>30</v>
      </c>
      <c r="D18" s="43"/>
      <c r="E18" s="46"/>
    </row>
    <row r="19" ht="22.5" customHeight="1">
      <c r="A19" s="57" t="s">
        <v>107</v>
      </c>
      <c r="B19" s="60" t="s">
        <v>93</v>
      </c>
      <c r="C19" s="60" t="s">
        <v>61</v>
      </c>
      <c r="D19" s="43"/>
      <c r="E19" s="46"/>
    </row>
    <row r="20" ht="22.5" customHeight="1">
      <c r="A20" s="57" t="s">
        <v>108</v>
      </c>
      <c r="B20" s="60" t="s">
        <v>93</v>
      </c>
      <c r="C20" s="60" t="s">
        <v>61</v>
      </c>
      <c r="D20" s="43"/>
      <c r="E20" s="46"/>
    </row>
    <row r="21" ht="22.5" customHeight="1">
      <c r="A21" s="57" t="s">
        <v>109</v>
      </c>
      <c r="B21" s="60" t="s">
        <v>93</v>
      </c>
      <c r="C21" s="60" t="s">
        <v>61</v>
      </c>
      <c r="D21" s="43"/>
      <c r="E21" s="46"/>
    </row>
    <row r="22" ht="22.5" customHeight="1">
      <c r="A22" s="57" t="s">
        <v>88</v>
      </c>
      <c r="B22" s="60" t="s">
        <v>93</v>
      </c>
      <c r="C22" s="60" t="s">
        <v>61</v>
      </c>
      <c r="D22" s="43"/>
      <c r="E22" s="46"/>
    </row>
    <row r="23" ht="22.5" customHeight="1">
      <c r="A23" s="40"/>
      <c r="B23" s="89"/>
      <c r="C23" s="89"/>
      <c r="D23" s="43"/>
      <c r="E23" s="46"/>
    </row>
    <row r="24" ht="22.5" customHeight="1">
      <c r="A24" s="40"/>
      <c r="B24" s="89"/>
      <c r="C24" s="89"/>
      <c r="D24" s="43"/>
      <c r="E24" s="46"/>
    </row>
    <row r="25" ht="22.5" customHeight="1">
      <c r="A25" s="40"/>
      <c r="B25" s="89"/>
      <c r="C25" s="89"/>
      <c r="D25" s="43"/>
      <c r="E25" s="46"/>
    </row>
    <row r="26" ht="22.5" customHeight="1">
      <c r="A26" s="40"/>
      <c r="B26" s="89"/>
      <c r="C26" s="89"/>
      <c r="D26" s="43"/>
      <c r="E26" s="46"/>
    </row>
    <row r="27" ht="22.5" customHeight="1">
      <c r="A27" s="40"/>
      <c r="B27" s="89"/>
      <c r="C27" s="89"/>
      <c r="D27" s="43"/>
      <c r="E27" s="46"/>
    </row>
    <row r="28" ht="22.5" customHeight="1">
      <c r="A28" s="40"/>
      <c r="B28" s="89"/>
      <c r="C28" s="89"/>
      <c r="D28" s="43"/>
      <c r="E28" s="46"/>
    </row>
    <row r="29" ht="22.5" customHeight="1">
      <c r="A29" s="40"/>
      <c r="B29" s="89"/>
      <c r="C29" s="89"/>
      <c r="D29" s="43"/>
      <c r="E29" s="46"/>
    </row>
    <row r="30" ht="22.5" customHeight="1">
      <c r="A30" s="40"/>
      <c r="B30" s="89"/>
      <c r="C30" s="89"/>
      <c r="D30" s="43"/>
      <c r="E30" s="46"/>
    </row>
    <row r="31" ht="22.5" customHeight="1">
      <c r="A31" s="40"/>
      <c r="B31" s="89"/>
      <c r="C31" s="89"/>
      <c r="D31" s="43"/>
      <c r="E31" s="46"/>
    </row>
    <row r="32" ht="22.5" customHeight="1">
      <c r="A32" s="40"/>
      <c r="B32" s="89"/>
      <c r="C32" s="89"/>
      <c r="D32" s="43"/>
      <c r="E32" s="46"/>
    </row>
    <row r="33" ht="22.5" customHeight="1">
      <c r="A33" s="40"/>
      <c r="B33" s="89"/>
      <c r="C33" s="89"/>
      <c r="D33" s="43"/>
      <c r="E33" s="46"/>
    </row>
    <row r="34" ht="22.5" customHeight="1">
      <c r="A34" s="40"/>
      <c r="B34" s="89"/>
      <c r="C34" s="89"/>
      <c r="D34" s="43"/>
      <c r="E34" s="46"/>
    </row>
    <row r="35" ht="22.5" customHeight="1">
      <c r="A35" s="40"/>
      <c r="B35" s="89"/>
      <c r="C35" s="89"/>
      <c r="D35" s="43"/>
      <c r="E35" s="46"/>
    </row>
    <row r="36" ht="22.5" customHeight="1">
      <c r="A36" s="40"/>
      <c r="B36" s="89"/>
      <c r="C36" s="89"/>
      <c r="D36" s="43"/>
      <c r="E36" s="46"/>
    </row>
    <row r="37" ht="22.5" customHeight="1">
      <c r="A37" s="40"/>
      <c r="B37" s="89"/>
      <c r="C37" s="89"/>
      <c r="D37" s="43"/>
      <c r="E37" s="46"/>
    </row>
    <row r="38" ht="22.5" customHeight="1">
      <c r="A38" s="40"/>
      <c r="B38" s="89"/>
      <c r="C38" s="89"/>
      <c r="D38" s="43"/>
      <c r="E38" s="46"/>
    </row>
    <row r="39" ht="22.5" customHeight="1">
      <c r="A39" s="40"/>
      <c r="B39" s="89"/>
      <c r="C39" s="89"/>
      <c r="D39" s="43"/>
      <c r="E39" s="46"/>
    </row>
    <row r="40" ht="22.5" customHeight="1">
      <c r="A40" s="40"/>
      <c r="B40" s="89"/>
      <c r="C40" s="89"/>
      <c r="D40" s="43"/>
      <c r="E40" s="46"/>
    </row>
    <row r="41" ht="22.5" customHeight="1">
      <c r="A41" s="40"/>
      <c r="B41" s="89"/>
      <c r="C41" s="89"/>
      <c r="D41" s="43"/>
      <c r="E41" s="46"/>
    </row>
    <row r="42" ht="22.5" customHeight="1">
      <c r="A42" s="40"/>
      <c r="B42" s="89"/>
      <c r="C42" s="89"/>
      <c r="D42" s="43"/>
      <c r="E42" s="46"/>
    </row>
    <row r="43" ht="22.5" customHeight="1">
      <c r="A43" s="40"/>
      <c r="B43" s="89"/>
      <c r="C43" s="89"/>
      <c r="D43" s="43"/>
      <c r="E43" s="46"/>
    </row>
    <row r="44" ht="22.5" customHeight="1">
      <c r="A44" s="40"/>
      <c r="B44" s="89"/>
      <c r="C44" s="89"/>
      <c r="D44" s="43"/>
      <c r="E44" s="46"/>
    </row>
    <row r="45" ht="22.5" customHeight="1">
      <c r="A45" s="40"/>
      <c r="B45" s="89"/>
      <c r="C45" s="89"/>
      <c r="D45" s="43"/>
      <c r="E45" s="46"/>
    </row>
    <row r="46" ht="22.5" customHeight="1">
      <c r="A46" s="40"/>
      <c r="B46" s="89"/>
      <c r="C46" s="89"/>
      <c r="D46" s="43"/>
      <c r="E46" s="46"/>
    </row>
    <row r="47" ht="22.5" customHeight="1">
      <c r="A47" s="40"/>
      <c r="B47" s="89"/>
      <c r="C47" s="89"/>
      <c r="D47" s="43"/>
      <c r="E47" s="46"/>
    </row>
    <row r="48" ht="22.5" customHeight="1">
      <c r="A48" s="40"/>
      <c r="B48" s="89"/>
      <c r="C48" s="89"/>
      <c r="D48" s="43"/>
      <c r="E48" s="46"/>
    </row>
    <row r="49" ht="22.5" customHeight="1">
      <c r="A49" s="40"/>
      <c r="B49" s="89"/>
      <c r="C49" s="89"/>
      <c r="D49" s="43"/>
      <c r="E49" s="46"/>
    </row>
    <row r="50" ht="22.5" customHeight="1">
      <c r="A50" s="40"/>
      <c r="B50" s="89"/>
      <c r="C50" s="89"/>
      <c r="D50" s="43"/>
      <c r="E50" s="46"/>
    </row>
  </sheetData>
  <dataValidations>
    <dataValidation type="list" allowBlank="1" sqref="D2:D50">
      <formula1>#REF!</formula1>
    </dataValidation>
    <dataValidation type="list" allowBlank="1" sqref="C2:C50">
      <formula1>"Инструментальные,Внутренние"</formula1>
    </dataValidation>
    <dataValidation type="list" allowBlank="1" sqref="B2:B50">
      <formula1>"Частные,Частные с общественным эффектом,Общественные"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7.88"/>
    <col customWidth="1" min="3" max="3" width="17.25"/>
    <col customWidth="1" min="4" max="4" width="15.63"/>
  </cols>
  <sheetData>
    <row r="1">
      <c r="A1" s="8" t="s">
        <v>6</v>
      </c>
      <c r="B1" s="9" t="s">
        <v>7</v>
      </c>
      <c r="C1" s="10" t="s">
        <v>8</v>
      </c>
      <c r="D1" s="11" t="s">
        <v>9</v>
      </c>
      <c r="E1" s="12" t="s">
        <v>10</v>
      </c>
      <c r="F1" s="14" t="s">
        <v>11</v>
      </c>
      <c r="G1" s="16" t="s">
        <v>14</v>
      </c>
      <c r="H1" s="17" t="s">
        <v>16</v>
      </c>
      <c r="I1" s="19" t="s">
        <v>18</v>
      </c>
      <c r="J1" s="20" t="s">
        <v>20</v>
      </c>
      <c r="K1" s="21" t="s">
        <v>21</v>
      </c>
      <c r="L1" s="22" t="s">
        <v>22</v>
      </c>
      <c r="M1" s="24" t="s">
        <v>23</v>
      </c>
      <c r="N1" s="26" t="s">
        <v>24</v>
      </c>
      <c r="O1" s="27" t="s">
        <v>26</v>
      </c>
      <c r="P1" s="29" t="s">
        <v>27</v>
      </c>
      <c r="Q1" s="30" t="s">
        <v>29</v>
      </c>
      <c r="R1" s="32"/>
      <c r="S1" s="32"/>
      <c r="T1" s="32"/>
      <c r="U1" s="32"/>
      <c r="V1" s="32"/>
      <c r="W1" s="32"/>
      <c r="X1" s="32"/>
    </row>
    <row r="2">
      <c r="A2" s="8" t="s">
        <v>31</v>
      </c>
      <c r="B2" s="9" t="s">
        <v>32</v>
      </c>
      <c r="C2" s="10" t="s">
        <v>33</v>
      </c>
      <c r="D2" s="34" t="s">
        <v>34</v>
      </c>
      <c r="E2" s="35" t="s">
        <v>33</v>
      </c>
      <c r="F2" s="36" t="s">
        <v>35</v>
      </c>
      <c r="G2" s="37" t="s">
        <v>37</v>
      </c>
      <c r="H2" s="38" t="s">
        <v>38</v>
      </c>
      <c r="I2" s="39" t="s">
        <v>39</v>
      </c>
      <c r="J2" s="41" t="s">
        <v>40</v>
      </c>
      <c r="K2" s="42" t="s">
        <v>41</v>
      </c>
      <c r="L2" s="44" t="s">
        <v>43</v>
      </c>
      <c r="M2" s="45" t="s">
        <v>41</v>
      </c>
      <c r="N2" s="47" t="s">
        <v>44</v>
      </c>
      <c r="O2" s="48" t="s">
        <v>45</v>
      </c>
      <c r="P2" s="39" t="s">
        <v>44</v>
      </c>
      <c r="Q2" s="49" t="s">
        <v>46</v>
      </c>
      <c r="R2" s="32"/>
      <c r="S2" s="32"/>
      <c r="T2" s="32"/>
      <c r="U2" s="32"/>
      <c r="V2" s="32"/>
      <c r="W2" s="32"/>
      <c r="X2" s="32"/>
    </row>
    <row r="3">
      <c r="A3" s="8" t="s">
        <v>47</v>
      </c>
      <c r="B3" s="9" t="s">
        <v>48</v>
      </c>
      <c r="C3" s="50" t="s">
        <v>41</v>
      </c>
      <c r="D3" s="34" t="s">
        <v>35</v>
      </c>
      <c r="E3" s="51" t="s">
        <v>49</v>
      </c>
      <c r="F3" s="36" t="s">
        <v>44</v>
      </c>
      <c r="G3" s="37" t="s">
        <v>35</v>
      </c>
      <c r="H3" s="52" t="s">
        <v>50</v>
      </c>
      <c r="I3" s="53" t="s">
        <v>51</v>
      </c>
      <c r="J3" s="41" t="s">
        <v>52</v>
      </c>
      <c r="K3" s="54" t="s">
        <v>43</v>
      </c>
      <c r="L3" s="55" t="s">
        <v>41</v>
      </c>
      <c r="M3" s="56" t="s">
        <v>54</v>
      </c>
      <c r="N3" s="47" t="s">
        <v>55</v>
      </c>
      <c r="O3" s="48" t="s">
        <v>43</v>
      </c>
      <c r="P3" s="39" t="s">
        <v>56</v>
      </c>
      <c r="Q3" s="49" t="s">
        <v>57</v>
      </c>
      <c r="R3" s="32"/>
      <c r="S3" s="32"/>
      <c r="T3" s="32"/>
      <c r="U3" s="32"/>
      <c r="V3" s="32"/>
      <c r="W3" s="32"/>
      <c r="X3" s="32"/>
    </row>
    <row r="4">
      <c r="A4" s="58"/>
      <c r="B4" s="59" t="s">
        <v>58</v>
      </c>
      <c r="C4" s="50" t="s">
        <v>59</v>
      </c>
      <c r="D4" s="34" t="s">
        <v>60</v>
      </c>
      <c r="E4" s="51" t="s">
        <v>60</v>
      </c>
      <c r="F4" s="36" t="s">
        <v>57</v>
      </c>
      <c r="G4" s="61"/>
      <c r="H4" s="52" t="s">
        <v>62</v>
      </c>
      <c r="I4" s="53" t="s">
        <v>63</v>
      </c>
      <c r="J4" s="41" t="s">
        <v>35</v>
      </c>
      <c r="K4" s="62" t="s">
        <v>55</v>
      </c>
      <c r="L4" s="63"/>
      <c r="M4" s="64" t="s">
        <v>64</v>
      </c>
      <c r="N4" s="65" t="s">
        <v>65</v>
      </c>
      <c r="O4" s="66" t="s">
        <v>41</v>
      </c>
      <c r="P4" s="39" t="s">
        <v>55</v>
      </c>
      <c r="Q4" s="49"/>
      <c r="R4" s="32"/>
      <c r="S4" s="32"/>
      <c r="T4" s="32"/>
      <c r="U4" s="32"/>
      <c r="V4" s="32"/>
      <c r="W4" s="32"/>
      <c r="X4" s="32"/>
    </row>
    <row r="5">
      <c r="A5" s="67"/>
      <c r="B5" s="59" t="s">
        <v>66</v>
      </c>
      <c r="C5" s="68" t="s">
        <v>34</v>
      </c>
      <c r="D5" s="34" t="s">
        <v>67</v>
      </c>
      <c r="E5" s="51" t="s">
        <v>67</v>
      </c>
      <c r="F5" s="36" t="s">
        <v>69</v>
      </c>
      <c r="G5" s="61"/>
      <c r="H5" s="69"/>
      <c r="I5" s="70" t="s">
        <v>65</v>
      </c>
      <c r="J5" s="41" t="s">
        <v>37</v>
      </c>
      <c r="K5" s="62" t="s">
        <v>49</v>
      </c>
      <c r="L5" s="63"/>
      <c r="M5" s="64" t="s">
        <v>70</v>
      </c>
      <c r="N5" s="71"/>
      <c r="O5" s="72"/>
      <c r="P5" s="39" t="s">
        <v>71</v>
      </c>
      <c r="Q5" s="73"/>
      <c r="R5" s="32"/>
      <c r="S5" s="32"/>
      <c r="T5" s="32"/>
      <c r="U5" s="32"/>
      <c r="V5" s="32"/>
      <c r="W5" s="32"/>
      <c r="X5" s="32"/>
    </row>
    <row r="6">
      <c r="A6" s="67"/>
      <c r="B6" s="59" t="s">
        <v>41</v>
      </c>
      <c r="C6" s="68" t="s">
        <v>72</v>
      </c>
      <c r="D6" s="74"/>
      <c r="E6" s="51" t="s">
        <v>73</v>
      </c>
      <c r="F6" s="36" t="s">
        <v>74</v>
      </c>
      <c r="G6" s="61"/>
      <c r="H6" s="69"/>
      <c r="I6" s="75"/>
      <c r="J6" s="76" t="s">
        <v>75</v>
      </c>
      <c r="K6" s="32"/>
      <c r="L6" s="63"/>
      <c r="M6" s="77"/>
      <c r="N6" s="71"/>
      <c r="O6" s="72"/>
      <c r="P6" s="75"/>
      <c r="Q6" s="73"/>
      <c r="R6" s="32"/>
      <c r="S6" s="32"/>
      <c r="T6" s="32"/>
      <c r="U6" s="32"/>
      <c r="V6" s="32"/>
      <c r="W6" s="32"/>
      <c r="X6" s="32"/>
    </row>
    <row r="7">
      <c r="A7" s="67"/>
      <c r="B7" s="78" t="s">
        <v>76</v>
      </c>
      <c r="C7" s="79"/>
      <c r="D7" s="74"/>
      <c r="E7" s="51" t="s">
        <v>77</v>
      </c>
      <c r="F7" s="80"/>
      <c r="G7" s="61"/>
      <c r="H7" s="69"/>
      <c r="I7" s="75"/>
      <c r="J7" s="76" t="s">
        <v>78</v>
      </c>
      <c r="K7" s="32"/>
      <c r="L7" s="63"/>
      <c r="M7" s="77"/>
      <c r="N7" s="71"/>
      <c r="O7" s="72"/>
      <c r="P7" s="75"/>
      <c r="Q7" s="73"/>
      <c r="R7" s="32"/>
      <c r="S7" s="32"/>
      <c r="T7" s="32"/>
      <c r="U7" s="32"/>
      <c r="V7" s="32"/>
      <c r="W7" s="32"/>
      <c r="X7" s="32"/>
    </row>
    <row r="8">
      <c r="A8" s="67"/>
      <c r="B8" s="81"/>
      <c r="C8" s="79"/>
      <c r="D8" s="74"/>
      <c r="E8" s="51" t="s">
        <v>79</v>
      </c>
      <c r="F8" s="80"/>
      <c r="G8" s="61"/>
      <c r="H8" s="69"/>
      <c r="I8" s="75"/>
      <c r="J8" s="41" t="s">
        <v>80</v>
      </c>
      <c r="K8" s="32"/>
      <c r="L8" s="63"/>
      <c r="M8" s="77"/>
      <c r="N8" s="71"/>
      <c r="O8" s="72"/>
      <c r="P8" s="75"/>
      <c r="Q8" s="73"/>
      <c r="R8" s="32"/>
      <c r="S8" s="32"/>
      <c r="T8" s="32"/>
      <c r="U8" s="32"/>
      <c r="V8" s="32"/>
      <c r="W8" s="32"/>
      <c r="X8" s="32"/>
    </row>
    <row r="9">
      <c r="A9" s="67"/>
      <c r="B9" s="81"/>
      <c r="C9" s="79"/>
      <c r="D9" s="74"/>
      <c r="E9" s="82" t="s">
        <v>35</v>
      </c>
      <c r="F9" s="80"/>
      <c r="G9" s="61"/>
      <c r="H9" s="69"/>
      <c r="I9" s="75"/>
      <c r="J9" s="41" t="s">
        <v>81</v>
      </c>
      <c r="K9" s="32"/>
      <c r="L9" s="63"/>
      <c r="M9" s="77"/>
      <c r="N9" s="71"/>
      <c r="O9" s="72"/>
      <c r="P9" s="75"/>
      <c r="Q9" s="73"/>
      <c r="R9" s="32"/>
      <c r="S9" s="32"/>
      <c r="T9" s="32"/>
      <c r="U9" s="32"/>
      <c r="V9" s="32"/>
      <c r="W9" s="32"/>
      <c r="X9" s="32"/>
    </row>
    <row r="10">
      <c r="A10" s="67"/>
      <c r="B10" s="81"/>
      <c r="C10" s="79"/>
      <c r="D10" s="74"/>
      <c r="E10" s="82" t="s">
        <v>44</v>
      </c>
      <c r="F10" s="80"/>
      <c r="G10" s="61"/>
      <c r="H10" s="69"/>
      <c r="I10" s="75"/>
      <c r="J10" s="83"/>
      <c r="K10" s="32"/>
      <c r="L10" s="63"/>
      <c r="M10" s="77"/>
      <c r="N10" s="71"/>
      <c r="O10" s="72"/>
      <c r="P10" s="75"/>
      <c r="Q10" s="73"/>
      <c r="R10" s="32"/>
      <c r="S10" s="32"/>
      <c r="T10" s="32"/>
      <c r="U10" s="32"/>
      <c r="V10" s="32"/>
      <c r="W10" s="32"/>
      <c r="X10" s="32"/>
    </row>
    <row r="11">
      <c r="A11" s="67"/>
      <c r="B11" s="81"/>
      <c r="C11" s="79"/>
      <c r="D11" s="74"/>
      <c r="E11" s="82" t="s">
        <v>56</v>
      </c>
      <c r="F11" s="80"/>
      <c r="G11" s="61"/>
      <c r="H11" s="69"/>
      <c r="I11" s="75"/>
      <c r="J11" s="83"/>
      <c r="K11" s="32"/>
      <c r="L11" s="63"/>
      <c r="M11" s="77"/>
      <c r="N11" s="71"/>
      <c r="O11" s="72"/>
      <c r="P11" s="75"/>
      <c r="Q11" s="73"/>
      <c r="R11" s="32"/>
      <c r="S11" s="32"/>
      <c r="T11" s="32"/>
      <c r="U11" s="32"/>
      <c r="V11" s="32"/>
      <c r="W11" s="32"/>
      <c r="X11" s="32"/>
    </row>
    <row r="12">
      <c r="A12" s="67"/>
      <c r="B12" s="81"/>
      <c r="C12" s="79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32"/>
      <c r="S12" s="32"/>
      <c r="T12" s="32"/>
      <c r="U12" s="32"/>
      <c r="V12" s="32"/>
      <c r="W12" s="32"/>
      <c r="X12" s="32"/>
    </row>
    <row r="13">
      <c r="A13" s="67"/>
      <c r="B13" s="81"/>
      <c r="C13" s="79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32"/>
      <c r="S13" s="32"/>
      <c r="T13" s="32"/>
      <c r="U13" s="32"/>
      <c r="V13" s="32"/>
      <c r="W13" s="32"/>
      <c r="X13" s="32"/>
    </row>
    <row r="14">
      <c r="A14" s="67"/>
      <c r="B14" s="81"/>
      <c r="C14" s="79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32"/>
      <c r="S14" s="32"/>
      <c r="T14" s="32"/>
      <c r="U14" s="32"/>
      <c r="V14" s="32"/>
      <c r="W14" s="32"/>
      <c r="X14" s="32"/>
    </row>
    <row r="15">
      <c r="A15" s="67"/>
      <c r="B15" s="81"/>
      <c r="C15" s="79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32"/>
      <c r="S15" s="32"/>
      <c r="T15" s="32"/>
      <c r="U15" s="32"/>
      <c r="V15" s="32"/>
      <c r="W15" s="32"/>
      <c r="X15" s="32"/>
    </row>
    <row r="16">
      <c r="A16" s="67"/>
      <c r="B16" s="81"/>
      <c r="C16" s="79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32"/>
      <c r="S16" s="32"/>
      <c r="T16" s="32"/>
      <c r="U16" s="32"/>
      <c r="V16" s="32"/>
      <c r="W16" s="32"/>
      <c r="X16" s="32"/>
    </row>
    <row r="17">
      <c r="A17" s="67"/>
      <c r="B17" s="81"/>
      <c r="C17" s="79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32"/>
      <c r="S17" s="32"/>
      <c r="T17" s="32"/>
      <c r="U17" s="32"/>
      <c r="V17" s="32"/>
      <c r="W17" s="32"/>
      <c r="X17" s="32"/>
    </row>
    <row r="18">
      <c r="A18" s="67"/>
      <c r="B18" s="81"/>
      <c r="C18" s="79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32"/>
      <c r="S18" s="32"/>
      <c r="T18" s="32"/>
      <c r="U18" s="32"/>
      <c r="V18" s="32"/>
      <c r="W18" s="32"/>
      <c r="X18" s="32"/>
    </row>
    <row r="19">
      <c r="A19" s="67"/>
      <c r="B19" s="81"/>
      <c r="C19" s="79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32"/>
      <c r="S19" s="32"/>
      <c r="T19" s="32"/>
      <c r="U19" s="32"/>
      <c r="V19" s="32"/>
      <c r="W19" s="32"/>
      <c r="X19" s="32"/>
    </row>
    <row r="20">
      <c r="A20" s="67"/>
      <c r="B20" s="81"/>
      <c r="C20" s="79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32"/>
      <c r="S20" s="32"/>
      <c r="T20" s="32"/>
      <c r="U20" s="32"/>
      <c r="V20" s="32"/>
      <c r="W20" s="32"/>
      <c r="X20" s="32"/>
    </row>
    <row r="21">
      <c r="A21" s="67"/>
      <c r="B21" s="81"/>
      <c r="C21" s="79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32"/>
      <c r="S21" s="32"/>
      <c r="T21" s="32"/>
      <c r="U21" s="32"/>
      <c r="V21" s="32"/>
      <c r="W21" s="32"/>
      <c r="X21" s="32"/>
    </row>
    <row r="22">
      <c r="A22" s="67"/>
      <c r="B22" s="81"/>
      <c r="C22" s="79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32"/>
      <c r="S22" s="32"/>
      <c r="T22" s="32"/>
      <c r="U22" s="32"/>
      <c r="V22" s="32"/>
      <c r="W22" s="32"/>
      <c r="X22" s="32"/>
    </row>
    <row r="23">
      <c r="A23" s="67"/>
      <c r="B23" s="81"/>
      <c r="C23" s="79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32"/>
      <c r="S23" s="32"/>
      <c r="T23" s="32"/>
      <c r="U23" s="32"/>
      <c r="V23" s="32"/>
      <c r="W23" s="32"/>
      <c r="X23" s="32"/>
    </row>
    <row r="24">
      <c r="A24" s="67"/>
      <c r="B24" s="81"/>
      <c r="C24" s="79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32"/>
      <c r="S24" s="32"/>
      <c r="T24" s="32"/>
      <c r="U24" s="32"/>
      <c r="V24" s="32"/>
      <c r="W24" s="32"/>
      <c r="X24" s="32"/>
    </row>
    <row r="25">
      <c r="A25" s="67"/>
      <c r="B25" s="81"/>
      <c r="C25" s="79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32"/>
      <c r="S25" s="32"/>
      <c r="T25" s="32"/>
      <c r="U25" s="32"/>
      <c r="V25" s="32"/>
      <c r="W25" s="32"/>
      <c r="X25" s="32"/>
    </row>
    <row r="26">
      <c r="A26" s="67"/>
      <c r="B26" s="81"/>
      <c r="C26" s="79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32"/>
      <c r="S26" s="32"/>
      <c r="T26" s="32"/>
      <c r="U26" s="32"/>
      <c r="V26" s="32"/>
      <c r="W26" s="32"/>
      <c r="X26" s="32"/>
    </row>
    <row r="27">
      <c r="A27" s="67"/>
      <c r="B27" s="81"/>
      <c r="C27" s="79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32"/>
      <c r="S27" s="32"/>
      <c r="T27" s="32"/>
      <c r="U27" s="32"/>
      <c r="V27" s="32"/>
      <c r="W27" s="32"/>
      <c r="X27" s="32"/>
    </row>
    <row r="28">
      <c r="A28" s="67"/>
      <c r="B28" s="81"/>
      <c r="C28" s="79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32"/>
      <c r="S28" s="32"/>
      <c r="T28" s="32"/>
      <c r="U28" s="32"/>
      <c r="V28" s="32"/>
      <c r="W28" s="32"/>
      <c r="X28" s="32"/>
    </row>
    <row r="29">
      <c r="A29" s="67"/>
      <c r="B29" s="81"/>
      <c r="C29" s="79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32"/>
      <c r="S29" s="32"/>
      <c r="T29" s="32"/>
      <c r="U29" s="32"/>
      <c r="V29" s="32"/>
      <c r="W29" s="32"/>
      <c r="X29" s="32"/>
    </row>
    <row r="30">
      <c r="A30" s="67"/>
      <c r="B30" s="81"/>
      <c r="C30" s="79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32"/>
      <c r="S30" s="32"/>
      <c r="T30" s="32"/>
      <c r="U30" s="32"/>
      <c r="V30" s="32"/>
      <c r="W30" s="32"/>
      <c r="X30" s="32"/>
    </row>
    <row r="31">
      <c r="A31" s="67"/>
      <c r="B31" s="81"/>
      <c r="C31" s="79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32"/>
      <c r="S31" s="32"/>
      <c r="T31" s="32"/>
      <c r="U31" s="32"/>
      <c r="V31" s="32"/>
      <c r="W31" s="32"/>
      <c r="X31" s="32"/>
    </row>
    <row r="32">
      <c r="A32" s="67"/>
      <c r="B32" s="81"/>
      <c r="C32" s="79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32"/>
      <c r="S32" s="32"/>
      <c r="T32" s="32"/>
      <c r="U32" s="32"/>
      <c r="V32" s="32"/>
      <c r="W32" s="32"/>
      <c r="X32" s="32"/>
    </row>
    <row r="33">
      <c r="A33" s="67"/>
      <c r="B33" s="81"/>
      <c r="C33" s="79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32"/>
      <c r="S33" s="32"/>
      <c r="T33" s="32"/>
      <c r="U33" s="32"/>
      <c r="V33" s="32"/>
      <c r="W33" s="32"/>
      <c r="X33" s="32"/>
    </row>
    <row r="34">
      <c r="A34" s="67"/>
      <c r="B34" s="81"/>
      <c r="C34" s="79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32"/>
      <c r="S34" s="32"/>
      <c r="T34" s="32"/>
      <c r="U34" s="32"/>
      <c r="V34" s="32"/>
      <c r="W34" s="32"/>
      <c r="X34" s="32"/>
    </row>
    <row r="35">
      <c r="A35" s="67"/>
      <c r="B35" s="81"/>
      <c r="C35" s="79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32"/>
      <c r="S35" s="32"/>
      <c r="T35" s="32"/>
      <c r="U35" s="32"/>
      <c r="V35" s="32"/>
      <c r="W35" s="32"/>
      <c r="X35" s="32"/>
    </row>
    <row r="36">
      <c r="A36" s="67"/>
      <c r="B36" s="81"/>
      <c r="C36" s="79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32"/>
      <c r="S36" s="32"/>
      <c r="T36" s="32"/>
      <c r="U36" s="32"/>
      <c r="V36" s="32"/>
      <c r="W36" s="32"/>
      <c r="X36" s="32"/>
    </row>
    <row r="37">
      <c r="A37" s="67"/>
      <c r="B37" s="81"/>
      <c r="C37" s="79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32"/>
      <c r="S37" s="32"/>
      <c r="T37" s="32"/>
      <c r="U37" s="32"/>
      <c r="V37" s="32"/>
      <c r="W37" s="32"/>
      <c r="X37" s="32"/>
    </row>
    <row r="38">
      <c r="A38" s="67"/>
      <c r="B38" s="81"/>
      <c r="C38" s="79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32"/>
      <c r="S38" s="32"/>
      <c r="T38" s="32"/>
      <c r="U38" s="32"/>
      <c r="V38" s="32"/>
      <c r="W38" s="32"/>
      <c r="X38" s="32"/>
    </row>
    <row r="39">
      <c r="A39" s="67"/>
      <c r="B39" s="81"/>
      <c r="C39" s="79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32"/>
      <c r="S39" s="32"/>
      <c r="T39" s="32"/>
      <c r="U39" s="32"/>
      <c r="V39" s="32"/>
      <c r="W39" s="32"/>
      <c r="X39" s="32"/>
    </row>
    <row r="40">
      <c r="A40" s="67"/>
      <c r="B40" s="81"/>
      <c r="C40" s="79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32"/>
      <c r="S40" s="32"/>
      <c r="T40" s="32"/>
      <c r="U40" s="32"/>
      <c r="V40" s="32"/>
      <c r="W40" s="32"/>
      <c r="X40" s="32"/>
    </row>
    <row r="41">
      <c r="A41" s="67"/>
      <c r="B41" s="81"/>
      <c r="C41" s="79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32"/>
      <c r="S41" s="32"/>
      <c r="T41" s="32"/>
      <c r="U41" s="32"/>
      <c r="V41" s="32"/>
      <c r="W41" s="32"/>
      <c r="X41" s="32"/>
    </row>
    <row r="42">
      <c r="A42" s="67"/>
      <c r="B42" s="81"/>
      <c r="C42" s="79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32"/>
      <c r="S42" s="32"/>
      <c r="T42" s="32"/>
      <c r="U42" s="32"/>
      <c r="V42" s="32"/>
      <c r="W42" s="32"/>
      <c r="X42" s="32"/>
    </row>
    <row r="43">
      <c r="A43" s="67"/>
      <c r="B43" s="81"/>
      <c r="C43" s="79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32"/>
      <c r="S43" s="32"/>
      <c r="T43" s="32"/>
      <c r="U43" s="32"/>
      <c r="V43" s="32"/>
      <c r="W43" s="32"/>
      <c r="X43" s="32"/>
    </row>
    <row r="44">
      <c r="A44" s="67"/>
      <c r="B44" s="81"/>
      <c r="C44" s="79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32"/>
      <c r="S44" s="32"/>
      <c r="T44" s="32"/>
      <c r="U44" s="32"/>
      <c r="V44" s="32"/>
      <c r="W44" s="32"/>
      <c r="X44" s="32"/>
    </row>
    <row r="45">
      <c r="A45" s="67"/>
      <c r="B45" s="81"/>
      <c r="C45" s="79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32"/>
      <c r="S45" s="32"/>
      <c r="T45" s="32"/>
      <c r="U45" s="32"/>
      <c r="V45" s="32"/>
      <c r="W45" s="32"/>
      <c r="X45" s="32"/>
    </row>
    <row r="46">
      <c r="A46" s="67"/>
      <c r="B46" s="81"/>
      <c r="C46" s="79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32"/>
      <c r="S46" s="32"/>
      <c r="T46" s="32"/>
      <c r="U46" s="32"/>
      <c r="V46" s="32"/>
      <c r="W46" s="32"/>
      <c r="X46" s="32"/>
    </row>
    <row r="47">
      <c r="A47" s="67"/>
      <c r="B47" s="81"/>
      <c r="C47" s="79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32"/>
      <c r="S47" s="32"/>
      <c r="T47" s="32"/>
      <c r="U47" s="32"/>
      <c r="V47" s="32"/>
      <c r="W47" s="32"/>
      <c r="X47" s="32"/>
    </row>
    <row r="48">
      <c r="A48" s="67"/>
      <c r="B48" s="81"/>
      <c r="C48" s="79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32"/>
      <c r="S48" s="32"/>
      <c r="T48" s="32"/>
      <c r="U48" s="32"/>
      <c r="V48" s="32"/>
      <c r="W48" s="32"/>
      <c r="X48" s="32"/>
    </row>
    <row r="49">
      <c r="A49" s="67"/>
      <c r="B49" s="81"/>
      <c r="C49" s="79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32"/>
      <c r="S49" s="32"/>
      <c r="T49" s="32"/>
      <c r="U49" s="32"/>
      <c r="V49" s="32"/>
      <c r="W49" s="32"/>
      <c r="X49" s="32"/>
    </row>
    <row r="50">
      <c r="A50" s="67"/>
      <c r="B50" s="81"/>
      <c r="C50" s="79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32"/>
      <c r="S50" s="32"/>
      <c r="T50" s="32"/>
      <c r="U50" s="32"/>
      <c r="V50" s="32"/>
      <c r="W50" s="32"/>
      <c r="X50" s="32"/>
    </row>
    <row r="51">
      <c r="A51" s="67"/>
      <c r="B51" s="81"/>
      <c r="C51" s="79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32"/>
      <c r="S51" s="32"/>
      <c r="T51" s="32"/>
      <c r="U51" s="32"/>
      <c r="V51" s="32"/>
      <c r="W51" s="32"/>
      <c r="X51" s="32"/>
    </row>
    <row r="52">
      <c r="A52" s="67"/>
      <c r="B52" s="81"/>
      <c r="C52" s="79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32"/>
      <c r="S52" s="32"/>
      <c r="T52" s="32"/>
      <c r="U52" s="32"/>
      <c r="V52" s="32"/>
      <c r="W52" s="32"/>
      <c r="X52" s="32"/>
    </row>
    <row r="53">
      <c r="A53" s="67"/>
      <c r="B53" s="81"/>
      <c r="C53" s="79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32"/>
      <c r="S53" s="32"/>
      <c r="T53" s="32"/>
      <c r="U53" s="32"/>
      <c r="V53" s="32"/>
      <c r="W53" s="32"/>
      <c r="X53" s="32"/>
    </row>
    <row r="54">
      <c r="A54" s="67"/>
      <c r="B54" s="81"/>
      <c r="C54" s="79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32"/>
      <c r="S54" s="32"/>
      <c r="T54" s="32"/>
      <c r="U54" s="32"/>
      <c r="V54" s="32"/>
      <c r="W54" s="32"/>
      <c r="X54" s="32"/>
    </row>
    <row r="55">
      <c r="A55" s="67"/>
      <c r="B55" s="81"/>
      <c r="C55" s="79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32"/>
      <c r="S55" s="32"/>
      <c r="T55" s="32"/>
      <c r="U55" s="32"/>
      <c r="V55" s="32"/>
      <c r="W55" s="32"/>
      <c r="X55" s="32"/>
    </row>
    <row r="56">
      <c r="A56" s="67"/>
      <c r="B56" s="81"/>
      <c r="C56" s="79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32"/>
      <c r="S56" s="32"/>
      <c r="T56" s="32"/>
      <c r="U56" s="32"/>
      <c r="V56" s="32"/>
      <c r="W56" s="32"/>
      <c r="X56" s="32"/>
    </row>
    <row r="57">
      <c r="A57" s="67"/>
      <c r="B57" s="81"/>
      <c r="C57" s="79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32"/>
      <c r="S57" s="32"/>
      <c r="T57" s="32"/>
      <c r="U57" s="32"/>
      <c r="V57" s="32"/>
      <c r="W57" s="32"/>
      <c r="X57" s="32"/>
    </row>
    <row r="58">
      <c r="A58" s="67"/>
      <c r="B58" s="81"/>
      <c r="C58" s="79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32"/>
      <c r="S58" s="32"/>
      <c r="T58" s="32"/>
      <c r="U58" s="32"/>
      <c r="V58" s="32"/>
      <c r="W58" s="32"/>
      <c r="X58" s="32"/>
    </row>
    <row r="59">
      <c r="A59" s="67"/>
      <c r="B59" s="81"/>
      <c r="C59" s="79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32"/>
      <c r="S59" s="32"/>
      <c r="T59" s="32"/>
      <c r="U59" s="32"/>
      <c r="V59" s="32"/>
      <c r="W59" s="32"/>
      <c r="X59" s="32"/>
    </row>
    <row r="60">
      <c r="A60" s="67"/>
      <c r="B60" s="81"/>
      <c r="C60" s="79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32"/>
      <c r="S60" s="32"/>
      <c r="T60" s="32"/>
      <c r="U60" s="32"/>
      <c r="V60" s="32"/>
      <c r="W60" s="32"/>
      <c r="X60" s="32"/>
    </row>
    <row r="61">
      <c r="A61" s="67"/>
      <c r="B61" s="81"/>
      <c r="C61" s="79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32"/>
      <c r="S61" s="32"/>
      <c r="T61" s="32"/>
      <c r="U61" s="32"/>
      <c r="V61" s="32"/>
      <c r="W61" s="32"/>
      <c r="X61" s="32"/>
    </row>
    <row r="62">
      <c r="A62" s="67"/>
      <c r="B62" s="81"/>
      <c r="C62" s="79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32"/>
      <c r="S62" s="32"/>
      <c r="T62" s="32"/>
      <c r="U62" s="32"/>
      <c r="V62" s="32"/>
      <c r="W62" s="32"/>
      <c r="X62" s="32"/>
    </row>
    <row r="63">
      <c r="A63" s="67"/>
      <c r="B63" s="81"/>
      <c r="C63" s="79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32"/>
      <c r="S63" s="32"/>
      <c r="T63" s="32"/>
      <c r="U63" s="32"/>
      <c r="V63" s="32"/>
      <c r="W63" s="32"/>
      <c r="X63" s="32"/>
    </row>
    <row r="64">
      <c r="A64" s="67"/>
      <c r="B64" s="81"/>
      <c r="C64" s="79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32"/>
      <c r="S64" s="32"/>
      <c r="T64" s="32"/>
      <c r="U64" s="32"/>
      <c r="V64" s="32"/>
      <c r="W64" s="32"/>
      <c r="X64" s="32"/>
    </row>
    <row r="65">
      <c r="A65" s="67"/>
      <c r="B65" s="81"/>
      <c r="C65" s="79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32"/>
      <c r="S65" s="32"/>
      <c r="T65" s="32"/>
      <c r="U65" s="32"/>
      <c r="V65" s="32"/>
      <c r="W65" s="32"/>
      <c r="X65" s="32"/>
    </row>
    <row r="66">
      <c r="A66" s="67"/>
      <c r="B66" s="81"/>
      <c r="C66" s="79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32"/>
      <c r="S66" s="32"/>
      <c r="T66" s="32"/>
      <c r="U66" s="32"/>
      <c r="V66" s="32"/>
      <c r="W66" s="32"/>
      <c r="X66" s="32"/>
    </row>
    <row r="67">
      <c r="A67" s="67"/>
      <c r="B67" s="81"/>
      <c r="C67" s="79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32"/>
      <c r="S67" s="32"/>
      <c r="T67" s="32"/>
      <c r="U67" s="32"/>
      <c r="V67" s="32"/>
      <c r="W67" s="32"/>
      <c r="X67" s="32"/>
    </row>
    <row r="68">
      <c r="A68" s="67"/>
      <c r="B68" s="81"/>
      <c r="C68" s="79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32"/>
      <c r="S68" s="32"/>
      <c r="T68" s="32"/>
      <c r="U68" s="32"/>
      <c r="V68" s="32"/>
      <c r="W68" s="32"/>
      <c r="X68" s="32"/>
    </row>
    <row r="69">
      <c r="A69" s="67"/>
      <c r="B69" s="81"/>
      <c r="C69" s="79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32"/>
      <c r="S69" s="32"/>
      <c r="T69" s="32"/>
      <c r="U69" s="32"/>
      <c r="V69" s="32"/>
      <c r="W69" s="32"/>
      <c r="X69" s="32"/>
    </row>
    <row r="70">
      <c r="A70" s="67"/>
      <c r="B70" s="81"/>
      <c r="C70" s="79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32"/>
      <c r="S70" s="32"/>
      <c r="T70" s="32"/>
      <c r="U70" s="32"/>
      <c r="V70" s="32"/>
      <c r="W70" s="32"/>
      <c r="X70" s="32"/>
    </row>
    <row r="71">
      <c r="A71" s="67"/>
      <c r="B71" s="81"/>
      <c r="C71" s="79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32"/>
      <c r="S71" s="32"/>
      <c r="T71" s="32"/>
      <c r="U71" s="32"/>
      <c r="V71" s="32"/>
      <c r="W71" s="32"/>
      <c r="X71" s="32"/>
    </row>
    <row r="72">
      <c r="A72" s="67"/>
      <c r="B72" s="81"/>
      <c r="C72" s="79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32"/>
      <c r="S72" s="32"/>
      <c r="T72" s="32"/>
      <c r="U72" s="32"/>
      <c r="V72" s="32"/>
      <c r="W72" s="32"/>
      <c r="X72" s="32"/>
    </row>
    <row r="73">
      <c r="A73" s="67"/>
      <c r="B73" s="81"/>
      <c r="C73" s="79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32"/>
      <c r="S73" s="32"/>
      <c r="T73" s="32"/>
      <c r="U73" s="32"/>
      <c r="V73" s="32"/>
      <c r="W73" s="32"/>
      <c r="X73" s="32"/>
    </row>
    <row r="74">
      <c r="A74" s="67"/>
      <c r="B74" s="81"/>
      <c r="C74" s="79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32"/>
      <c r="S74" s="32"/>
      <c r="T74" s="32"/>
      <c r="U74" s="32"/>
      <c r="V74" s="32"/>
      <c r="W74" s="32"/>
      <c r="X74" s="32"/>
    </row>
    <row r="75">
      <c r="A75" s="67"/>
      <c r="B75" s="81"/>
      <c r="C75" s="79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32"/>
      <c r="S75" s="32"/>
      <c r="T75" s="32"/>
      <c r="U75" s="32"/>
      <c r="V75" s="32"/>
      <c r="W75" s="32"/>
      <c r="X75" s="32"/>
    </row>
    <row r="76">
      <c r="A76" s="67"/>
      <c r="B76" s="81"/>
      <c r="C76" s="79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32"/>
      <c r="S76" s="32"/>
      <c r="T76" s="32"/>
      <c r="U76" s="32"/>
      <c r="V76" s="32"/>
      <c r="W76" s="32"/>
      <c r="X76" s="32"/>
    </row>
    <row r="77">
      <c r="A77" s="67"/>
      <c r="B77" s="81"/>
      <c r="C77" s="79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32"/>
      <c r="S77" s="32"/>
      <c r="T77" s="32"/>
      <c r="U77" s="32"/>
      <c r="V77" s="32"/>
      <c r="W77" s="32"/>
      <c r="X77" s="32"/>
    </row>
    <row r="78">
      <c r="A78" s="67"/>
      <c r="B78" s="81"/>
      <c r="C78" s="79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32"/>
      <c r="S78" s="32"/>
      <c r="T78" s="32"/>
      <c r="U78" s="32"/>
      <c r="V78" s="32"/>
      <c r="W78" s="32"/>
      <c r="X78" s="32"/>
    </row>
    <row r="79">
      <c r="A79" s="67"/>
      <c r="B79" s="81"/>
      <c r="C79" s="79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32"/>
      <c r="S79" s="32"/>
      <c r="T79" s="32"/>
      <c r="U79" s="32"/>
      <c r="V79" s="32"/>
      <c r="W79" s="32"/>
      <c r="X79" s="32"/>
    </row>
    <row r="80">
      <c r="A80" s="67"/>
      <c r="B80" s="81"/>
      <c r="C80" s="79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32"/>
      <c r="S80" s="32"/>
      <c r="T80" s="32"/>
      <c r="U80" s="32"/>
      <c r="V80" s="32"/>
      <c r="W80" s="32"/>
      <c r="X80" s="32"/>
    </row>
    <row r="81">
      <c r="A81" s="67"/>
      <c r="B81" s="81"/>
      <c r="C81" s="79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32"/>
      <c r="S81" s="32"/>
      <c r="T81" s="32"/>
      <c r="U81" s="32"/>
      <c r="V81" s="32"/>
      <c r="W81" s="32"/>
      <c r="X81" s="32"/>
    </row>
    <row r="82">
      <c r="A82" s="67"/>
      <c r="B82" s="81"/>
      <c r="C82" s="79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32"/>
      <c r="S82" s="32"/>
      <c r="T82" s="32"/>
      <c r="U82" s="32"/>
      <c r="V82" s="32"/>
      <c r="W82" s="32"/>
      <c r="X82" s="32"/>
    </row>
    <row r="83">
      <c r="A83" s="67"/>
      <c r="B83" s="81"/>
      <c r="C83" s="79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32"/>
      <c r="S83" s="32"/>
      <c r="T83" s="32"/>
      <c r="U83" s="32"/>
      <c r="V83" s="32"/>
      <c r="W83" s="32"/>
      <c r="X83" s="32"/>
    </row>
    <row r="84">
      <c r="A84" s="67"/>
      <c r="B84" s="81"/>
      <c r="C84" s="79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32"/>
      <c r="S84" s="32"/>
      <c r="T84" s="32"/>
      <c r="U84" s="32"/>
      <c r="V84" s="32"/>
      <c r="W84" s="32"/>
      <c r="X84" s="32"/>
    </row>
    <row r="85">
      <c r="A85" s="67"/>
      <c r="B85" s="81"/>
      <c r="C85" s="79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32"/>
      <c r="S85" s="32"/>
      <c r="T85" s="32"/>
      <c r="U85" s="32"/>
      <c r="V85" s="32"/>
      <c r="W85" s="32"/>
      <c r="X85" s="32"/>
    </row>
    <row r="86">
      <c r="A86" s="67"/>
      <c r="B86" s="81"/>
      <c r="C86" s="79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32"/>
      <c r="S86" s="32"/>
      <c r="T86" s="32"/>
      <c r="U86" s="32"/>
      <c r="V86" s="32"/>
      <c r="W86" s="32"/>
      <c r="X86" s="32"/>
    </row>
    <row r="87">
      <c r="A87" s="67"/>
      <c r="B87" s="81"/>
      <c r="C87" s="79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32"/>
      <c r="S87" s="32"/>
      <c r="T87" s="32"/>
      <c r="U87" s="32"/>
      <c r="V87" s="32"/>
      <c r="W87" s="32"/>
      <c r="X87" s="32"/>
    </row>
    <row r="88">
      <c r="A88" s="67"/>
      <c r="B88" s="81"/>
      <c r="C88" s="79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32"/>
      <c r="S88" s="32"/>
      <c r="T88" s="32"/>
      <c r="U88" s="32"/>
      <c r="V88" s="32"/>
      <c r="W88" s="32"/>
      <c r="X88" s="32"/>
    </row>
    <row r="89">
      <c r="A89" s="67"/>
      <c r="B89" s="81"/>
      <c r="C89" s="79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32"/>
      <c r="S89" s="32"/>
      <c r="T89" s="32"/>
      <c r="U89" s="32"/>
      <c r="V89" s="32"/>
      <c r="W89" s="32"/>
      <c r="X89" s="32"/>
    </row>
    <row r="90">
      <c r="A90" s="67"/>
      <c r="B90" s="81"/>
      <c r="C90" s="79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32"/>
      <c r="S90" s="32"/>
      <c r="T90" s="32"/>
      <c r="U90" s="32"/>
      <c r="V90" s="32"/>
      <c r="W90" s="32"/>
      <c r="X90" s="32"/>
    </row>
    <row r="91">
      <c r="A91" s="67"/>
      <c r="B91" s="81"/>
      <c r="C91" s="79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32"/>
      <c r="S91" s="32"/>
      <c r="T91" s="32"/>
      <c r="U91" s="32"/>
      <c r="V91" s="32"/>
      <c r="W91" s="32"/>
      <c r="X91" s="32"/>
    </row>
    <row r="92">
      <c r="A92" s="67"/>
      <c r="B92" s="81"/>
      <c r="C92" s="79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32"/>
      <c r="S92" s="32"/>
      <c r="T92" s="32"/>
      <c r="U92" s="32"/>
      <c r="V92" s="32"/>
      <c r="W92" s="32"/>
      <c r="X92" s="32"/>
    </row>
    <row r="93">
      <c r="A93" s="67"/>
      <c r="B93" s="81"/>
      <c r="C93" s="79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32"/>
      <c r="S93" s="32"/>
      <c r="T93" s="32"/>
      <c r="U93" s="32"/>
      <c r="V93" s="32"/>
      <c r="W93" s="32"/>
      <c r="X93" s="32"/>
    </row>
    <row r="94">
      <c r="A94" s="67"/>
      <c r="B94" s="81"/>
      <c r="C94" s="79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32"/>
      <c r="S94" s="32"/>
      <c r="T94" s="32"/>
      <c r="U94" s="32"/>
      <c r="V94" s="32"/>
      <c r="W94" s="32"/>
      <c r="X94" s="32"/>
    </row>
    <row r="95">
      <c r="A95" s="67"/>
      <c r="B95" s="81"/>
      <c r="C95" s="79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32"/>
      <c r="S95" s="32"/>
      <c r="T95" s="32"/>
      <c r="U95" s="32"/>
      <c r="V95" s="32"/>
      <c r="W95" s="32"/>
      <c r="X95" s="32"/>
    </row>
    <row r="96">
      <c r="A96" s="67"/>
      <c r="B96" s="81"/>
      <c r="C96" s="79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32"/>
      <c r="S96" s="32"/>
      <c r="T96" s="32"/>
      <c r="U96" s="32"/>
      <c r="V96" s="32"/>
      <c r="W96" s="32"/>
      <c r="X96" s="32"/>
    </row>
    <row r="97">
      <c r="A97" s="67"/>
      <c r="B97" s="81"/>
      <c r="C97" s="79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32"/>
      <c r="S97" s="32"/>
      <c r="T97" s="32"/>
      <c r="U97" s="32"/>
      <c r="V97" s="32"/>
      <c r="W97" s="32"/>
      <c r="X97" s="32"/>
    </row>
    <row r="98">
      <c r="A98" s="67"/>
      <c r="B98" s="81"/>
      <c r="C98" s="79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32"/>
      <c r="S98" s="32"/>
      <c r="T98" s="32"/>
      <c r="U98" s="32"/>
      <c r="V98" s="32"/>
      <c r="W98" s="32"/>
      <c r="X98" s="32"/>
    </row>
    <row r="99">
      <c r="A99" s="67"/>
      <c r="B99" s="81"/>
      <c r="C99" s="79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32"/>
      <c r="S99" s="32"/>
      <c r="T99" s="32"/>
      <c r="U99" s="32"/>
      <c r="V99" s="32"/>
      <c r="W99" s="32"/>
      <c r="X99" s="32"/>
    </row>
    <row r="100">
      <c r="A100" s="67"/>
      <c r="B100" s="81"/>
      <c r="C100" s="79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32"/>
      <c r="S100" s="32"/>
      <c r="T100" s="32"/>
      <c r="U100" s="32"/>
      <c r="V100" s="32"/>
      <c r="W100" s="32"/>
      <c r="X100" s="32"/>
    </row>
    <row r="101">
      <c r="A101" s="67"/>
      <c r="B101" s="81"/>
      <c r="C101" s="79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32"/>
      <c r="S101" s="32"/>
      <c r="T101" s="32"/>
      <c r="U101" s="32"/>
      <c r="V101" s="32"/>
      <c r="W101" s="32"/>
      <c r="X101" s="32"/>
    </row>
    <row r="102">
      <c r="A102" s="67"/>
      <c r="B102" s="81"/>
      <c r="C102" s="79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32"/>
      <c r="S102" s="32"/>
      <c r="T102" s="32"/>
      <c r="U102" s="32"/>
      <c r="V102" s="32"/>
      <c r="W102" s="32"/>
      <c r="X102" s="32"/>
    </row>
    <row r="103">
      <c r="A103" s="67"/>
      <c r="B103" s="81"/>
      <c r="C103" s="79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32"/>
      <c r="S103" s="32"/>
      <c r="T103" s="32"/>
      <c r="U103" s="32"/>
      <c r="V103" s="32"/>
      <c r="W103" s="32"/>
      <c r="X103" s="32"/>
    </row>
    <row r="104">
      <c r="A104" s="67"/>
      <c r="B104" s="81"/>
      <c r="C104" s="79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32"/>
      <c r="S104" s="32"/>
      <c r="T104" s="32"/>
      <c r="U104" s="32"/>
      <c r="V104" s="32"/>
      <c r="W104" s="32"/>
      <c r="X104" s="32"/>
    </row>
    <row r="105">
      <c r="A105" s="67"/>
      <c r="B105" s="81"/>
      <c r="C105" s="79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32"/>
      <c r="S105" s="32"/>
      <c r="T105" s="32"/>
      <c r="U105" s="32"/>
      <c r="V105" s="32"/>
      <c r="W105" s="32"/>
      <c r="X105" s="32"/>
    </row>
    <row r="106">
      <c r="A106" s="67"/>
      <c r="B106" s="81"/>
      <c r="C106" s="79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32"/>
      <c r="S106" s="32"/>
      <c r="T106" s="32"/>
      <c r="U106" s="32"/>
      <c r="V106" s="32"/>
      <c r="W106" s="32"/>
      <c r="X106" s="32"/>
    </row>
    <row r="107">
      <c r="A107" s="67"/>
      <c r="B107" s="81"/>
      <c r="C107" s="79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32"/>
      <c r="S107" s="32"/>
      <c r="T107" s="32"/>
      <c r="U107" s="32"/>
      <c r="V107" s="32"/>
      <c r="W107" s="32"/>
      <c r="X107" s="32"/>
    </row>
    <row r="108">
      <c r="A108" s="67"/>
      <c r="B108" s="81"/>
      <c r="C108" s="79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32"/>
      <c r="S108" s="32"/>
      <c r="T108" s="32"/>
      <c r="U108" s="32"/>
      <c r="V108" s="32"/>
      <c r="W108" s="32"/>
      <c r="X108" s="32"/>
    </row>
    <row r="109">
      <c r="A109" s="67"/>
      <c r="B109" s="81"/>
      <c r="C109" s="79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32"/>
      <c r="S109" s="32"/>
      <c r="T109" s="32"/>
      <c r="U109" s="32"/>
      <c r="V109" s="32"/>
      <c r="W109" s="32"/>
      <c r="X109" s="32"/>
    </row>
    <row r="110">
      <c r="A110" s="67"/>
      <c r="B110" s="81"/>
      <c r="C110" s="79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32"/>
      <c r="S110" s="32"/>
      <c r="T110" s="32"/>
      <c r="U110" s="32"/>
      <c r="V110" s="32"/>
      <c r="W110" s="32"/>
      <c r="X110" s="32"/>
    </row>
    <row r="111">
      <c r="A111" s="67"/>
      <c r="B111" s="81"/>
      <c r="C111" s="79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32"/>
      <c r="S111" s="32"/>
      <c r="T111" s="32"/>
      <c r="U111" s="32"/>
      <c r="V111" s="32"/>
      <c r="W111" s="32"/>
      <c r="X111" s="32"/>
    </row>
    <row r="112">
      <c r="A112" s="67"/>
      <c r="B112" s="81"/>
      <c r="C112" s="79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32"/>
      <c r="S112" s="32"/>
      <c r="T112" s="32"/>
      <c r="U112" s="32"/>
      <c r="V112" s="32"/>
      <c r="W112" s="32"/>
      <c r="X112" s="32"/>
    </row>
    <row r="113">
      <c r="A113" s="67"/>
      <c r="B113" s="81"/>
      <c r="C113" s="79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32"/>
      <c r="S113" s="32"/>
      <c r="T113" s="32"/>
      <c r="U113" s="32"/>
      <c r="V113" s="32"/>
      <c r="W113" s="32"/>
      <c r="X113" s="32"/>
    </row>
    <row r="114">
      <c r="A114" s="67"/>
      <c r="B114" s="81"/>
      <c r="C114" s="79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32"/>
      <c r="S114" s="32"/>
      <c r="T114" s="32"/>
      <c r="U114" s="32"/>
      <c r="V114" s="32"/>
      <c r="W114" s="32"/>
      <c r="X114" s="32"/>
    </row>
    <row r="115">
      <c r="A115" s="67"/>
      <c r="B115" s="81"/>
      <c r="C115" s="79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32"/>
      <c r="S115" s="32"/>
      <c r="T115" s="32"/>
      <c r="U115" s="32"/>
      <c r="V115" s="32"/>
      <c r="W115" s="32"/>
      <c r="X115" s="32"/>
    </row>
    <row r="116">
      <c r="A116" s="67"/>
      <c r="B116" s="81"/>
      <c r="C116" s="79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32"/>
      <c r="S116" s="32"/>
      <c r="T116" s="32"/>
      <c r="U116" s="32"/>
      <c r="V116" s="32"/>
      <c r="W116" s="32"/>
      <c r="X116" s="32"/>
    </row>
    <row r="117">
      <c r="A117" s="67"/>
      <c r="B117" s="81"/>
      <c r="C117" s="79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32"/>
      <c r="S117" s="32"/>
      <c r="T117" s="32"/>
      <c r="U117" s="32"/>
      <c r="V117" s="32"/>
      <c r="W117" s="32"/>
      <c r="X117" s="32"/>
    </row>
    <row r="118">
      <c r="A118" s="67"/>
      <c r="B118" s="81"/>
      <c r="C118" s="79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32"/>
      <c r="S118" s="32"/>
      <c r="T118" s="32"/>
      <c r="U118" s="32"/>
      <c r="V118" s="32"/>
      <c r="W118" s="32"/>
      <c r="X118" s="32"/>
    </row>
    <row r="119">
      <c r="A119" s="67"/>
      <c r="B119" s="81"/>
      <c r="C119" s="79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32"/>
      <c r="S119" s="32"/>
      <c r="T119" s="32"/>
      <c r="U119" s="32"/>
      <c r="V119" s="32"/>
      <c r="W119" s="32"/>
      <c r="X119" s="32"/>
    </row>
    <row r="120">
      <c r="A120" s="67"/>
      <c r="B120" s="81"/>
      <c r="C120" s="79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32"/>
      <c r="S120" s="32"/>
      <c r="T120" s="32"/>
      <c r="U120" s="32"/>
      <c r="V120" s="32"/>
      <c r="W120" s="32"/>
      <c r="X120" s="32"/>
    </row>
    <row r="121">
      <c r="A121" s="67"/>
      <c r="B121" s="81"/>
      <c r="C121" s="79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32"/>
      <c r="S121" s="32"/>
      <c r="T121" s="32"/>
      <c r="U121" s="32"/>
      <c r="V121" s="32"/>
      <c r="W121" s="32"/>
      <c r="X121" s="32"/>
    </row>
    <row r="122">
      <c r="A122" s="67"/>
      <c r="B122" s="81"/>
      <c r="C122" s="79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32"/>
      <c r="S122" s="32"/>
      <c r="T122" s="32"/>
      <c r="U122" s="32"/>
      <c r="V122" s="32"/>
      <c r="W122" s="32"/>
      <c r="X122" s="32"/>
    </row>
    <row r="123">
      <c r="A123" s="67"/>
      <c r="B123" s="81"/>
      <c r="C123" s="79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32"/>
      <c r="S123" s="32"/>
      <c r="T123" s="32"/>
      <c r="U123" s="32"/>
      <c r="V123" s="32"/>
      <c r="W123" s="32"/>
      <c r="X123" s="32"/>
    </row>
    <row r="124">
      <c r="A124" s="67"/>
      <c r="B124" s="81"/>
      <c r="C124" s="79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32"/>
      <c r="S124" s="32"/>
      <c r="T124" s="32"/>
      <c r="U124" s="32"/>
      <c r="V124" s="32"/>
      <c r="W124" s="32"/>
      <c r="X124" s="32"/>
    </row>
    <row r="125">
      <c r="A125" s="67"/>
      <c r="B125" s="81"/>
      <c r="C125" s="79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32"/>
      <c r="S125" s="32"/>
      <c r="T125" s="32"/>
      <c r="U125" s="32"/>
      <c r="V125" s="32"/>
      <c r="W125" s="32"/>
      <c r="X125" s="32"/>
    </row>
    <row r="126">
      <c r="A126" s="67"/>
      <c r="B126" s="81"/>
      <c r="C126" s="79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32"/>
      <c r="S126" s="32"/>
      <c r="T126" s="32"/>
      <c r="U126" s="32"/>
      <c r="V126" s="32"/>
      <c r="W126" s="32"/>
      <c r="X126" s="32"/>
    </row>
    <row r="127">
      <c r="A127" s="67"/>
      <c r="B127" s="81"/>
      <c r="C127" s="79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32"/>
      <c r="S127" s="32"/>
      <c r="T127" s="32"/>
      <c r="U127" s="32"/>
      <c r="V127" s="32"/>
      <c r="W127" s="32"/>
      <c r="X127" s="32"/>
    </row>
    <row r="128">
      <c r="A128" s="67"/>
      <c r="B128" s="81"/>
      <c r="C128" s="79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32"/>
      <c r="S128" s="32"/>
      <c r="T128" s="32"/>
      <c r="U128" s="32"/>
      <c r="V128" s="32"/>
      <c r="W128" s="32"/>
      <c r="X128" s="32"/>
    </row>
    <row r="129">
      <c r="A129" s="67"/>
      <c r="B129" s="81"/>
      <c r="C129" s="79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32"/>
      <c r="S129" s="32"/>
      <c r="T129" s="32"/>
      <c r="U129" s="32"/>
      <c r="V129" s="32"/>
      <c r="W129" s="32"/>
      <c r="X129" s="32"/>
    </row>
    <row r="130">
      <c r="A130" s="67"/>
      <c r="B130" s="81"/>
      <c r="C130" s="79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32"/>
      <c r="S130" s="32"/>
      <c r="T130" s="32"/>
      <c r="U130" s="32"/>
      <c r="V130" s="32"/>
      <c r="W130" s="32"/>
      <c r="X130" s="32"/>
    </row>
    <row r="131">
      <c r="A131" s="67"/>
      <c r="B131" s="81"/>
      <c r="C131" s="79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32"/>
      <c r="S131" s="32"/>
      <c r="T131" s="32"/>
      <c r="U131" s="32"/>
      <c r="V131" s="32"/>
      <c r="W131" s="32"/>
      <c r="X131" s="32"/>
    </row>
    <row r="132">
      <c r="A132" s="67"/>
      <c r="B132" s="81"/>
      <c r="C132" s="79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32"/>
      <c r="S132" s="32"/>
      <c r="T132" s="32"/>
      <c r="U132" s="32"/>
      <c r="V132" s="32"/>
      <c r="W132" s="32"/>
      <c r="X132" s="32"/>
    </row>
    <row r="133">
      <c r="A133" s="67"/>
      <c r="B133" s="81"/>
      <c r="C133" s="79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32"/>
      <c r="S133" s="32"/>
      <c r="T133" s="32"/>
      <c r="U133" s="32"/>
      <c r="V133" s="32"/>
      <c r="W133" s="32"/>
      <c r="X133" s="32"/>
    </row>
    <row r="134">
      <c r="A134" s="67"/>
      <c r="B134" s="81"/>
      <c r="C134" s="79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32"/>
      <c r="S134" s="32"/>
      <c r="T134" s="32"/>
      <c r="U134" s="32"/>
      <c r="V134" s="32"/>
      <c r="W134" s="32"/>
      <c r="X134" s="32"/>
    </row>
    <row r="135">
      <c r="A135" s="67"/>
      <c r="B135" s="81"/>
      <c r="C135" s="79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32"/>
      <c r="S135" s="32"/>
      <c r="T135" s="32"/>
      <c r="U135" s="32"/>
      <c r="V135" s="32"/>
      <c r="W135" s="32"/>
      <c r="X135" s="32"/>
    </row>
    <row r="136">
      <c r="A136" s="67"/>
      <c r="B136" s="81"/>
      <c r="C136" s="79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32"/>
      <c r="S136" s="32"/>
      <c r="T136" s="32"/>
      <c r="U136" s="32"/>
      <c r="V136" s="32"/>
      <c r="W136" s="32"/>
      <c r="X136" s="32"/>
    </row>
    <row r="137">
      <c r="A137" s="67"/>
      <c r="B137" s="81"/>
      <c r="C137" s="79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32"/>
      <c r="S137" s="32"/>
      <c r="T137" s="32"/>
      <c r="U137" s="32"/>
      <c r="V137" s="32"/>
      <c r="W137" s="32"/>
      <c r="X137" s="32"/>
    </row>
    <row r="138">
      <c r="A138" s="67"/>
      <c r="B138" s="81"/>
      <c r="C138" s="79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32"/>
      <c r="S138" s="32"/>
      <c r="T138" s="32"/>
      <c r="U138" s="32"/>
      <c r="V138" s="32"/>
      <c r="W138" s="32"/>
      <c r="X138" s="32"/>
    </row>
    <row r="139">
      <c r="A139" s="67"/>
      <c r="B139" s="81"/>
      <c r="C139" s="79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32"/>
      <c r="S139" s="32"/>
      <c r="T139" s="32"/>
      <c r="U139" s="32"/>
      <c r="V139" s="32"/>
      <c r="W139" s="32"/>
      <c r="X139" s="32"/>
    </row>
    <row r="140">
      <c r="A140" s="67"/>
      <c r="B140" s="81"/>
      <c r="C140" s="79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32"/>
      <c r="S140" s="32"/>
      <c r="T140" s="32"/>
      <c r="U140" s="32"/>
      <c r="V140" s="32"/>
      <c r="W140" s="32"/>
      <c r="X140" s="32"/>
    </row>
    <row r="141">
      <c r="A141" s="67"/>
      <c r="B141" s="81"/>
      <c r="C141" s="79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32"/>
      <c r="S141" s="32"/>
      <c r="T141" s="32"/>
      <c r="U141" s="32"/>
      <c r="V141" s="32"/>
      <c r="W141" s="32"/>
      <c r="X141" s="32"/>
    </row>
    <row r="142">
      <c r="A142" s="67"/>
      <c r="B142" s="81"/>
      <c r="C142" s="79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32"/>
      <c r="S142" s="32"/>
      <c r="T142" s="32"/>
      <c r="U142" s="32"/>
      <c r="V142" s="32"/>
      <c r="W142" s="32"/>
      <c r="X142" s="32"/>
    </row>
    <row r="143">
      <c r="A143" s="67"/>
      <c r="B143" s="81"/>
      <c r="C143" s="79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32"/>
      <c r="S143" s="32"/>
      <c r="T143" s="32"/>
      <c r="U143" s="32"/>
      <c r="V143" s="32"/>
      <c r="W143" s="32"/>
      <c r="X143" s="32"/>
    </row>
    <row r="144">
      <c r="A144" s="67"/>
      <c r="B144" s="81"/>
      <c r="C144" s="79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32"/>
      <c r="S144" s="32"/>
      <c r="T144" s="32"/>
      <c r="U144" s="32"/>
      <c r="V144" s="32"/>
      <c r="W144" s="32"/>
      <c r="X144" s="32"/>
    </row>
    <row r="145">
      <c r="A145" s="67"/>
      <c r="B145" s="81"/>
      <c r="C145" s="79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32"/>
      <c r="S145" s="32"/>
      <c r="T145" s="32"/>
      <c r="U145" s="32"/>
      <c r="V145" s="32"/>
      <c r="W145" s="32"/>
      <c r="X145" s="32"/>
    </row>
    <row r="146">
      <c r="A146" s="67"/>
      <c r="B146" s="81"/>
      <c r="C146" s="79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32"/>
      <c r="S146" s="32"/>
      <c r="T146" s="32"/>
      <c r="U146" s="32"/>
      <c r="V146" s="32"/>
      <c r="W146" s="32"/>
      <c r="X146" s="32"/>
    </row>
    <row r="147">
      <c r="A147" s="67"/>
      <c r="B147" s="81"/>
      <c r="C147" s="79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32"/>
      <c r="S147" s="32"/>
      <c r="T147" s="32"/>
      <c r="U147" s="32"/>
      <c r="V147" s="32"/>
      <c r="W147" s="32"/>
      <c r="X147" s="32"/>
    </row>
    <row r="148">
      <c r="A148" s="67"/>
      <c r="B148" s="81"/>
      <c r="C148" s="79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32"/>
      <c r="S148" s="32"/>
      <c r="T148" s="32"/>
      <c r="U148" s="32"/>
      <c r="V148" s="32"/>
      <c r="W148" s="32"/>
      <c r="X148" s="32"/>
    </row>
    <row r="149">
      <c r="A149" s="67"/>
      <c r="B149" s="81"/>
      <c r="C149" s="79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32"/>
      <c r="S149" s="32"/>
      <c r="T149" s="32"/>
      <c r="U149" s="32"/>
      <c r="V149" s="32"/>
      <c r="W149" s="32"/>
      <c r="X149" s="32"/>
    </row>
    <row r="150">
      <c r="A150" s="67"/>
      <c r="B150" s="81"/>
      <c r="C150" s="79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32"/>
      <c r="S150" s="32"/>
      <c r="T150" s="32"/>
      <c r="U150" s="32"/>
      <c r="V150" s="32"/>
      <c r="W150" s="32"/>
      <c r="X150" s="32"/>
    </row>
    <row r="151">
      <c r="A151" s="67"/>
      <c r="B151" s="81"/>
      <c r="C151" s="79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32"/>
      <c r="S151" s="32"/>
      <c r="T151" s="32"/>
      <c r="U151" s="32"/>
      <c r="V151" s="32"/>
      <c r="W151" s="32"/>
      <c r="X151" s="32"/>
    </row>
    <row r="152">
      <c r="A152" s="67"/>
      <c r="B152" s="81"/>
      <c r="C152" s="79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32"/>
      <c r="S152" s="32"/>
      <c r="T152" s="32"/>
      <c r="U152" s="32"/>
      <c r="V152" s="32"/>
      <c r="W152" s="32"/>
      <c r="X152" s="32"/>
    </row>
    <row r="153">
      <c r="A153" s="67"/>
      <c r="B153" s="81"/>
      <c r="C153" s="79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32"/>
      <c r="S153" s="32"/>
      <c r="T153" s="32"/>
      <c r="U153" s="32"/>
      <c r="V153" s="32"/>
      <c r="W153" s="32"/>
      <c r="X153" s="32"/>
    </row>
    <row r="154">
      <c r="A154" s="67"/>
      <c r="B154" s="81"/>
      <c r="C154" s="79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32"/>
      <c r="S154" s="32"/>
      <c r="T154" s="32"/>
      <c r="U154" s="32"/>
      <c r="V154" s="32"/>
      <c r="W154" s="32"/>
      <c r="X154" s="32"/>
    </row>
    <row r="155">
      <c r="A155" s="67"/>
      <c r="B155" s="81"/>
      <c r="C155" s="79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32"/>
      <c r="S155" s="32"/>
      <c r="T155" s="32"/>
      <c r="U155" s="32"/>
      <c r="V155" s="32"/>
      <c r="W155" s="32"/>
      <c r="X155" s="32"/>
    </row>
    <row r="156">
      <c r="A156" s="67"/>
      <c r="B156" s="81"/>
      <c r="C156" s="79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32"/>
      <c r="S156" s="32"/>
      <c r="T156" s="32"/>
      <c r="U156" s="32"/>
      <c r="V156" s="32"/>
      <c r="W156" s="32"/>
      <c r="X156" s="32"/>
    </row>
    <row r="157">
      <c r="A157" s="67"/>
      <c r="B157" s="81"/>
      <c r="C157" s="79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32"/>
      <c r="S157" s="32"/>
      <c r="T157" s="32"/>
      <c r="U157" s="32"/>
      <c r="V157" s="32"/>
      <c r="W157" s="32"/>
      <c r="X157" s="32"/>
    </row>
    <row r="158">
      <c r="A158" s="67"/>
      <c r="B158" s="81"/>
      <c r="C158" s="79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32"/>
      <c r="S158" s="32"/>
      <c r="T158" s="32"/>
      <c r="U158" s="32"/>
      <c r="V158" s="32"/>
      <c r="W158" s="32"/>
      <c r="X158" s="32"/>
    </row>
    <row r="159">
      <c r="A159" s="67"/>
      <c r="B159" s="81"/>
      <c r="C159" s="79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32"/>
      <c r="S159" s="32"/>
      <c r="T159" s="32"/>
      <c r="U159" s="32"/>
      <c r="V159" s="32"/>
      <c r="W159" s="32"/>
      <c r="X159" s="32"/>
    </row>
    <row r="160">
      <c r="A160" s="67"/>
      <c r="B160" s="81"/>
      <c r="C160" s="79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32"/>
      <c r="S160" s="32"/>
      <c r="T160" s="32"/>
      <c r="U160" s="32"/>
      <c r="V160" s="32"/>
      <c r="W160" s="32"/>
      <c r="X160" s="32"/>
    </row>
    <row r="161">
      <c r="A161" s="67"/>
      <c r="B161" s="81"/>
      <c r="C161" s="79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32"/>
      <c r="S161" s="32"/>
      <c r="T161" s="32"/>
      <c r="U161" s="32"/>
      <c r="V161" s="32"/>
      <c r="W161" s="32"/>
      <c r="X161" s="32"/>
    </row>
    <row r="162">
      <c r="A162" s="67"/>
      <c r="B162" s="81"/>
      <c r="C162" s="79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32"/>
      <c r="S162" s="32"/>
      <c r="T162" s="32"/>
      <c r="U162" s="32"/>
      <c r="V162" s="32"/>
      <c r="W162" s="32"/>
      <c r="X162" s="32"/>
    </row>
    <row r="163">
      <c r="A163" s="67"/>
      <c r="B163" s="81"/>
      <c r="C163" s="79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32"/>
      <c r="S163" s="32"/>
      <c r="T163" s="32"/>
      <c r="U163" s="32"/>
      <c r="V163" s="32"/>
      <c r="W163" s="32"/>
      <c r="X163" s="32"/>
    </row>
    <row r="164">
      <c r="A164" s="67"/>
      <c r="B164" s="81"/>
      <c r="C164" s="79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32"/>
      <c r="S164" s="32"/>
      <c r="T164" s="32"/>
      <c r="U164" s="32"/>
      <c r="V164" s="32"/>
      <c r="W164" s="32"/>
      <c r="X164" s="32"/>
    </row>
    <row r="165">
      <c r="A165" s="67"/>
      <c r="B165" s="81"/>
      <c r="C165" s="79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32"/>
      <c r="S165" s="32"/>
      <c r="T165" s="32"/>
      <c r="U165" s="32"/>
      <c r="V165" s="32"/>
      <c r="W165" s="32"/>
      <c r="X165" s="32"/>
    </row>
    <row r="166">
      <c r="A166" s="67"/>
      <c r="B166" s="81"/>
      <c r="C166" s="79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32"/>
      <c r="S166" s="32"/>
      <c r="T166" s="32"/>
      <c r="U166" s="32"/>
      <c r="V166" s="32"/>
      <c r="W166" s="32"/>
      <c r="X166" s="32"/>
    </row>
    <row r="167">
      <c r="A167" s="67"/>
      <c r="B167" s="81"/>
      <c r="C167" s="79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32"/>
      <c r="S167" s="32"/>
      <c r="T167" s="32"/>
      <c r="U167" s="32"/>
      <c r="V167" s="32"/>
      <c r="W167" s="32"/>
      <c r="X167" s="32"/>
    </row>
    <row r="168">
      <c r="A168" s="67"/>
      <c r="B168" s="81"/>
      <c r="C168" s="79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32"/>
      <c r="S168" s="32"/>
      <c r="T168" s="32"/>
      <c r="U168" s="32"/>
      <c r="V168" s="32"/>
      <c r="W168" s="32"/>
      <c r="X168" s="32"/>
    </row>
    <row r="169">
      <c r="A169" s="67"/>
      <c r="B169" s="81"/>
      <c r="C169" s="79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32"/>
      <c r="S169" s="32"/>
      <c r="T169" s="32"/>
      <c r="U169" s="32"/>
      <c r="V169" s="32"/>
      <c r="W169" s="32"/>
      <c r="X169" s="32"/>
    </row>
    <row r="170">
      <c r="A170" s="67"/>
      <c r="B170" s="81"/>
      <c r="C170" s="79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32"/>
      <c r="S170" s="32"/>
      <c r="T170" s="32"/>
      <c r="U170" s="32"/>
      <c r="V170" s="32"/>
      <c r="W170" s="32"/>
      <c r="X170" s="32"/>
    </row>
    <row r="171">
      <c r="A171" s="67"/>
      <c r="B171" s="81"/>
      <c r="C171" s="79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32"/>
      <c r="S171" s="32"/>
      <c r="T171" s="32"/>
      <c r="U171" s="32"/>
      <c r="V171" s="32"/>
      <c r="W171" s="32"/>
      <c r="X171" s="32"/>
    </row>
    <row r="172">
      <c r="A172" s="67"/>
      <c r="B172" s="81"/>
      <c r="C172" s="79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32"/>
      <c r="S172" s="32"/>
      <c r="T172" s="32"/>
      <c r="U172" s="32"/>
      <c r="V172" s="32"/>
      <c r="W172" s="32"/>
      <c r="X172" s="32"/>
    </row>
    <row r="173">
      <c r="A173" s="67"/>
      <c r="B173" s="81"/>
      <c r="C173" s="79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32"/>
      <c r="S173" s="32"/>
      <c r="T173" s="32"/>
      <c r="U173" s="32"/>
      <c r="V173" s="32"/>
      <c r="W173" s="32"/>
      <c r="X173" s="32"/>
    </row>
    <row r="174">
      <c r="A174" s="67"/>
      <c r="B174" s="81"/>
      <c r="C174" s="79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32"/>
      <c r="S174" s="32"/>
      <c r="T174" s="32"/>
      <c r="U174" s="32"/>
      <c r="V174" s="32"/>
      <c r="W174" s="32"/>
      <c r="X174" s="32"/>
    </row>
    <row r="175">
      <c r="A175" s="67"/>
      <c r="B175" s="81"/>
      <c r="C175" s="79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32"/>
      <c r="S175" s="32"/>
      <c r="T175" s="32"/>
      <c r="U175" s="32"/>
      <c r="V175" s="32"/>
      <c r="W175" s="32"/>
      <c r="X175" s="32"/>
    </row>
    <row r="176">
      <c r="A176" s="67"/>
      <c r="B176" s="81"/>
      <c r="C176" s="79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32"/>
      <c r="S176" s="32"/>
      <c r="T176" s="32"/>
      <c r="U176" s="32"/>
      <c r="V176" s="32"/>
      <c r="W176" s="32"/>
      <c r="X176" s="32"/>
    </row>
    <row r="177">
      <c r="A177" s="67"/>
      <c r="B177" s="81"/>
      <c r="C177" s="79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32"/>
      <c r="S177" s="32"/>
      <c r="T177" s="32"/>
      <c r="U177" s="32"/>
      <c r="V177" s="32"/>
      <c r="W177" s="32"/>
      <c r="X177" s="32"/>
    </row>
    <row r="178">
      <c r="A178" s="67"/>
      <c r="B178" s="81"/>
      <c r="C178" s="79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32"/>
      <c r="S178" s="32"/>
      <c r="T178" s="32"/>
      <c r="U178" s="32"/>
      <c r="V178" s="32"/>
      <c r="W178" s="32"/>
      <c r="X178" s="32"/>
    </row>
    <row r="179">
      <c r="A179" s="67"/>
      <c r="B179" s="81"/>
      <c r="C179" s="79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32"/>
      <c r="S179" s="32"/>
      <c r="T179" s="32"/>
      <c r="U179" s="32"/>
      <c r="V179" s="32"/>
      <c r="W179" s="32"/>
      <c r="X179" s="32"/>
    </row>
    <row r="180">
      <c r="A180" s="67"/>
      <c r="B180" s="81"/>
      <c r="C180" s="79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32"/>
      <c r="S180" s="32"/>
      <c r="T180" s="32"/>
      <c r="U180" s="32"/>
      <c r="V180" s="32"/>
      <c r="W180" s="32"/>
      <c r="X180" s="32"/>
    </row>
    <row r="181">
      <c r="A181" s="67"/>
      <c r="B181" s="81"/>
      <c r="C181" s="79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32"/>
      <c r="S181" s="32"/>
      <c r="T181" s="32"/>
      <c r="U181" s="32"/>
      <c r="V181" s="32"/>
      <c r="W181" s="32"/>
      <c r="X181" s="32"/>
    </row>
    <row r="182">
      <c r="A182" s="67"/>
      <c r="B182" s="81"/>
      <c r="C182" s="79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32"/>
      <c r="S182" s="32"/>
      <c r="T182" s="32"/>
      <c r="U182" s="32"/>
      <c r="V182" s="32"/>
      <c r="W182" s="32"/>
      <c r="X182" s="32"/>
    </row>
    <row r="183">
      <c r="A183" s="67"/>
      <c r="B183" s="81"/>
      <c r="C183" s="79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32"/>
      <c r="S183" s="32"/>
      <c r="T183" s="32"/>
      <c r="U183" s="32"/>
      <c r="V183" s="32"/>
      <c r="W183" s="32"/>
      <c r="X183" s="32"/>
    </row>
    <row r="184">
      <c r="A184" s="67"/>
      <c r="B184" s="81"/>
      <c r="C184" s="79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32"/>
      <c r="S184" s="32"/>
      <c r="T184" s="32"/>
      <c r="U184" s="32"/>
      <c r="V184" s="32"/>
      <c r="W184" s="32"/>
      <c r="X184" s="32"/>
    </row>
    <row r="185">
      <c r="A185" s="67"/>
      <c r="B185" s="81"/>
      <c r="C185" s="79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32"/>
      <c r="S185" s="32"/>
      <c r="T185" s="32"/>
      <c r="U185" s="32"/>
      <c r="V185" s="32"/>
      <c r="W185" s="32"/>
      <c r="X185" s="32"/>
    </row>
    <row r="186">
      <c r="A186" s="67"/>
      <c r="B186" s="81"/>
      <c r="C186" s="79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32"/>
      <c r="S186" s="32"/>
      <c r="T186" s="32"/>
      <c r="U186" s="32"/>
      <c r="V186" s="32"/>
      <c r="W186" s="32"/>
      <c r="X186" s="32"/>
    </row>
    <row r="187">
      <c r="A187" s="67"/>
      <c r="B187" s="81"/>
      <c r="C187" s="79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32"/>
      <c r="S187" s="32"/>
      <c r="T187" s="32"/>
      <c r="U187" s="32"/>
      <c r="V187" s="32"/>
      <c r="W187" s="32"/>
      <c r="X187" s="32"/>
    </row>
    <row r="188">
      <c r="A188" s="67"/>
      <c r="B188" s="81"/>
      <c r="C188" s="79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32"/>
      <c r="S188" s="32"/>
      <c r="T188" s="32"/>
      <c r="U188" s="32"/>
      <c r="V188" s="32"/>
      <c r="W188" s="32"/>
      <c r="X188" s="32"/>
    </row>
    <row r="189">
      <c r="A189" s="67"/>
      <c r="B189" s="81"/>
      <c r="C189" s="79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32"/>
      <c r="S189" s="32"/>
      <c r="T189" s="32"/>
      <c r="U189" s="32"/>
      <c r="V189" s="32"/>
      <c r="W189" s="32"/>
      <c r="X189" s="32"/>
    </row>
    <row r="190">
      <c r="A190" s="67"/>
      <c r="B190" s="81"/>
      <c r="C190" s="79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32"/>
      <c r="S190" s="32"/>
      <c r="T190" s="32"/>
      <c r="U190" s="32"/>
      <c r="V190" s="32"/>
      <c r="W190" s="32"/>
      <c r="X190" s="32"/>
    </row>
    <row r="191">
      <c r="A191" s="67"/>
      <c r="B191" s="81"/>
      <c r="C191" s="79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32"/>
      <c r="S191" s="32"/>
      <c r="T191" s="32"/>
      <c r="U191" s="32"/>
      <c r="V191" s="32"/>
      <c r="W191" s="32"/>
      <c r="X191" s="32"/>
    </row>
    <row r="192">
      <c r="A192" s="67"/>
      <c r="B192" s="81"/>
      <c r="C192" s="79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32"/>
      <c r="S192" s="32"/>
      <c r="T192" s="32"/>
      <c r="U192" s="32"/>
      <c r="V192" s="32"/>
      <c r="W192" s="32"/>
      <c r="X192" s="32"/>
    </row>
    <row r="193">
      <c r="A193" s="67"/>
      <c r="B193" s="81"/>
      <c r="C193" s="79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32"/>
      <c r="S193" s="32"/>
      <c r="T193" s="32"/>
      <c r="U193" s="32"/>
      <c r="V193" s="32"/>
      <c r="W193" s="32"/>
      <c r="X193" s="32"/>
    </row>
    <row r="194">
      <c r="A194" s="67"/>
      <c r="B194" s="81"/>
      <c r="C194" s="79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32"/>
      <c r="S194" s="32"/>
      <c r="T194" s="32"/>
      <c r="U194" s="32"/>
      <c r="V194" s="32"/>
      <c r="W194" s="32"/>
      <c r="X194" s="32"/>
    </row>
    <row r="195">
      <c r="A195" s="67"/>
      <c r="B195" s="81"/>
      <c r="C195" s="79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32"/>
      <c r="S195" s="32"/>
      <c r="T195" s="32"/>
      <c r="U195" s="32"/>
      <c r="V195" s="32"/>
      <c r="W195" s="32"/>
      <c r="X195" s="32"/>
    </row>
    <row r="196">
      <c r="A196" s="67"/>
      <c r="B196" s="81"/>
      <c r="C196" s="79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32"/>
      <c r="S196" s="32"/>
      <c r="T196" s="32"/>
      <c r="U196" s="32"/>
      <c r="V196" s="32"/>
      <c r="W196" s="32"/>
      <c r="X196" s="32"/>
    </row>
    <row r="197">
      <c r="A197" s="67"/>
      <c r="B197" s="81"/>
      <c r="C197" s="79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32"/>
      <c r="S197" s="32"/>
      <c r="T197" s="32"/>
      <c r="U197" s="32"/>
      <c r="V197" s="32"/>
      <c r="W197" s="32"/>
      <c r="X197" s="32"/>
    </row>
    <row r="198">
      <c r="A198" s="67"/>
      <c r="B198" s="81"/>
      <c r="C198" s="79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32"/>
      <c r="S198" s="32"/>
      <c r="T198" s="32"/>
      <c r="U198" s="32"/>
      <c r="V198" s="32"/>
      <c r="W198" s="32"/>
      <c r="X198" s="32"/>
    </row>
    <row r="199">
      <c r="A199" s="67"/>
      <c r="B199" s="81"/>
      <c r="C199" s="79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32"/>
      <c r="S199" s="32"/>
      <c r="T199" s="32"/>
      <c r="U199" s="32"/>
      <c r="V199" s="32"/>
      <c r="W199" s="32"/>
      <c r="X199" s="32"/>
    </row>
    <row r="200">
      <c r="A200" s="67"/>
      <c r="B200" s="81"/>
      <c r="C200" s="79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32"/>
      <c r="S200" s="32"/>
      <c r="T200" s="32"/>
      <c r="U200" s="32"/>
      <c r="V200" s="32"/>
      <c r="W200" s="32"/>
      <c r="X200" s="32"/>
    </row>
    <row r="201">
      <c r="A201" s="67"/>
      <c r="B201" s="81"/>
      <c r="C201" s="79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32"/>
      <c r="S201" s="32"/>
      <c r="T201" s="32"/>
      <c r="U201" s="32"/>
      <c r="V201" s="32"/>
      <c r="W201" s="32"/>
      <c r="X201" s="32"/>
    </row>
    <row r="202">
      <c r="A202" s="67"/>
      <c r="B202" s="81"/>
      <c r="C202" s="79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32"/>
      <c r="S202" s="32"/>
      <c r="T202" s="32"/>
      <c r="U202" s="32"/>
      <c r="V202" s="32"/>
      <c r="W202" s="32"/>
      <c r="X202" s="32"/>
    </row>
    <row r="203">
      <c r="A203" s="67"/>
      <c r="B203" s="81"/>
      <c r="C203" s="79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32"/>
      <c r="S203" s="32"/>
      <c r="T203" s="32"/>
      <c r="U203" s="32"/>
      <c r="V203" s="32"/>
      <c r="W203" s="32"/>
      <c r="X203" s="32"/>
    </row>
    <row r="204">
      <c r="A204" s="67"/>
      <c r="B204" s="81"/>
      <c r="C204" s="79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32"/>
      <c r="S204" s="32"/>
      <c r="T204" s="32"/>
      <c r="U204" s="32"/>
      <c r="V204" s="32"/>
      <c r="W204" s="32"/>
      <c r="X204" s="32"/>
    </row>
    <row r="205">
      <c r="A205" s="67"/>
      <c r="B205" s="81"/>
      <c r="C205" s="79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32"/>
      <c r="S205" s="32"/>
      <c r="T205" s="32"/>
      <c r="U205" s="32"/>
      <c r="V205" s="32"/>
      <c r="W205" s="32"/>
      <c r="X205" s="32"/>
    </row>
    <row r="206">
      <c r="A206" s="67"/>
      <c r="B206" s="81"/>
      <c r="C206" s="79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32"/>
      <c r="S206" s="32"/>
      <c r="T206" s="32"/>
      <c r="U206" s="32"/>
      <c r="V206" s="32"/>
      <c r="W206" s="32"/>
      <c r="X206" s="32"/>
    </row>
    <row r="207">
      <c r="A207" s="67"/>
      <c r="B207" s="81"/>
      <c r="C207" s="79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32"/>
      <c r="S207" s="32"/>
      <c r="T207" s="32"/>
      <c r="U207" s="32"/>
      <c r="V207" s="32"/>
      <c r="W207" s="32"/>
      <c r="X207" s="32"/>
    </row>
    <row r="208">
      <c r="A208" s="67"/>
      <c r="B208" s="81"/>
      <c r="C208" s="79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32"/>
      <c r="S208" s="32"/>
      <c r="T208" s="32"/>
      <c r="U208" s="32"/>
      <c r="V208" s="32"/>
      <c r="W208" s="32"/>
      <c r="X208" s="32"/>
    </row>
    <row r="209">
      <c r="A209" s="67"/>
      <c r="B209" s="81"/>
      <c r="C209" s="79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32"/>
      <c r="S209" s="32"/>
      <c r="T209" s="32"/>
      <c r="U209" s="32"/>
      <c r="V209" s="32"/>
      <c r="W209" s="32"/>
      <c r="X209" s="32"/>
    </row>
    <row r="210">
      <c r="A210" s="67"/>
      <c r="B210" s="81"/>
      <c r="C210" s="79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32"/>
      <c r="S210" s="32"/>
      <c r="T210" s="32"/>
      <c r="U210" s="32"/>
      <c r="V210" s="32"/>
      <c r="W210" s="32"/>
      <c r="X210" s="32"/>
    </row>
    <row r="211">
      <c r="A211" s="67"/>
      <c r="B211" s="81"/>
      <c r="C211" s="79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32"/>
      <c r="S211" s="32"/>
      <c r="T211" s="32"/>
      <c r="U211" s="32"/>
      <c r="V211" s="32"/>
      <c r="W211" s="32"/>
      <c r="X211" s="32"/>
    </row>
    <row r="212">
      <c r="A212" s="67"/>
      <c r="B212" s="81"/>
      <c r="C212" s="79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32"/>
      <c r="S212" s="32"/>
      <c r="T212" s="32"/>
      <c r="U212" s="32"/>
      <c r="V212" s="32"/>
      <c r="W212" s="32"/>
      <c r="X212" s="32"/>
    </row>
    <row r="213">
      <c r="A213" s="67"/>
      <c r="B213" s="81"/>
      <c r="C213" s="79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32"/>
      <c r="S213" s="32"/>
      <c r="T213" s="32"/>
      <c r="U213" s="32"/>
      <c r="V213" s="32"/>
      <c r="W213" s="32"/>
      <c r="X213" s="32"/>
    </row>
    <row r="214">
      <c r="A214" s="67"/>
      <c r="B214" s="81"/>
      <c r="C214" s="79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32"/>
      <c r="S214" s="32"/>
      <c r="T214" s="32"/>
      <c r="U214" s="32"/>
      <c r="V214" s="32"/>
      <c r="W214" s="32"/>
      <c r="X214" s="32"/>
    </row>
    <row r="215">
      <c r="A215" s="67"/>
      <c r="B215" s="81"/>
      <c r="C215" s="79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32"/>
      <c r="S215" s="32"/>
      <c r="T215" s="32"/>
      <c r="U215" s="32"/>
      <c r="V215" s="32"/>
      <c r="W215" s="32"/>
      <c r="X215" s="32"/>
    </row>
    <row r="216">
      <c r="A216" s="67"/>
      <c r="B216" s="81"/>
      <c r="C216" s="79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32"/>
      <c r="S216" s="32"/>
      <c r="T216" s="32"/>
      <c r="U216" s="32"/>
      <c r="V216" s="32"/>
      <c r="W216" s="32"/>
      <c r="X216" s="32"/>
    </row>
    <row r="217">
      <c r="A217" s="67"/>
      <c r="B217" s="81"/>
      <c r="C217" s="79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32"/>
      <c r="S217" s="32"/>
      <c r="T217" s="32"/>
      <c r="U217" s="32"/>
      <c r="V217" s="32"/>
      <c r="W217" s="32"/>
      <c r="X217" s="32"/>
    </row>
    <row r="218">
      <c r="A218" s="67"/>
      <c r="B218" s="81"/>
      <c r="C218" s="79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32"/>
      <c r="S218" s="32"/>
      <c r="T218" s="32"/>
      <c r="U218" s="32"/>
      <c r="V218" s="32"/>
      <c r="W218" s="32"/>
      <c r="X218" s="32"/>
    </row>
    <row r="219">
      <c r="A219" s="67"/>
      <c r="B219" s="81"/>
      <c r="C219" s="79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32"/>
      <c r="S219" s="32"/>
      <c r="T219" s="32"/>
      <c r="U219" s="32"/>
      <c r="V219" s="32"/>
      <c r="W219" s="32"/>
      <c r="X219" s="32"/>
    </row>
    <row r="220">
      <c r="A220" s="67"/>
      <c r="B220" s="81"/>
      <c r="C220" s="79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32"/>
      <c r="S220" s="32"/>
      <c r="T220" s="32"/>
      <c r="U220" s="32"/>
      <c r="V220" s="32"/>
      <c r="W220" s="32"/>
      <c r="X220" s="32"/>
    </row>
    <row r="221">
      <c r="A221" s="67"/>
      <c r="B221" s="81"/>
      <c r="C221" s="79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32"/>
      <c r="S221" s="32"/>
      <c r="T221" s="32"/>
      <c r="U221" s="32"/>
      <c r="V221" s="32"/>
      <c r="W221" s="32"/>
      <c r="X221" s="32"/>
    </row>
    <row r="222">
      <c r="A222" s="67"/>
      <c r="B222" s="81"/>
      <c r="C222" s="79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32"/>
      <c r="S222" s="32"/>
      <c r="T222" s="32"/>
      <c r="U222" s="32"/>
      <c r="V222" s="32"/>
      <c r="W222" s="32"/>
      <c r="X222" s="32"/>
    </row>
    <row r="223">
      <c r="A223" s="67"/>
      <c r="B223" s="81"/>
      <c r="C223" s="79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32"/>
      <c r="S223" s="32"/>
      <c r="T223" s="32"/>
      <c r="U223" s="32"/>
      <c r="V223" s="32"/>
      <c r="W223" s="32"/>
      <c r="X223" s="32"/>
    </row>
    <row r="224">
      <c r="A224" s="67"/>
      <c r="B224" s="81"/>
      <c r="C224" s="79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32"/>
      <c r="S224" s="32"/>
      <c r="T224" s="32"/>
      <c r="U224" s="32"/>
      <c r="V224" s="32"/>
      <c r="W224" s="32"/>
      <c r="X224" s="32"/>
    </row>
    <row r="225">
      <c r="A225" s="67"/>
      <c r="B225" s="81"/>
      <c r="C225" s="79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32"/>
      <c r="S225" s="32"/>
      <c r="T225" s="32"/>
      <c r="U225" s="32"/>
      <c r="V225" s="32"/>
      <c r="W225" s="32"/>
      <c r="X225" s="32"/>
    </row>
    <row r="226">
      <c r="A226" s="67"/>
      <c r="B226" s="81"/>
      <c r="C226" s="79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32"/>
      <c r="S226" s="32"/>
      <c r="T226" s="32"/>
      <c r="U226" s="32"/>
      <c r="V226" s="32"/>
      <c r="W226" s="32"/>
      <c r="X226" s="32"/>
    </row>
    <row r="227">
      <c r="A227" s="67"/>
      <c r="B227" s="81"/>
      <c r="C227" s="79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32"/>
      <c r="S227" s="32"/>
      <c r="T227" s="32"/>
      <c r="U227" s="32"/>
      <c r="V227" s="32"/>
      <c r="W227" s="32"/>
      <c r="X227" s="32"/>
    </row>
    <row r="228">
      <c r="A228" s="67"/>
      <c r="B228" s="81"/>
      <c r="C228" s="79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32"/>
      <c r="S228" s="32"/>
      <c r="T228" s="32"/>
      <c r="U228" s="32"/>
      <c r="V228" s="32"/>
      <c r="W228" s="32"/>
      <c r="X228" s="32"/>
    </row>
    <row r="229">
      <c r="A229" s="67"/>
      <c r="B229" s="81"/>
      <c r="C229" s="79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32"/>
      <c r="S229" s="32"/>
      <c r="T229" s="32"/>
      <c r="U229" s="32"/>
      <c r="V229" s="32"/>
      <c r="W229" s="32"/>
      <c r="X229" s="32"/>
    </row>
    <row r="230">
      <c r="A230" s="67"/>
      <c r="B230" s="81"/>
      <c r="C230" s="79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32"/>
      <c r="S230" s="32"/>
      <c r="T230" s="32"/>
      <c r="U230" s="32"/>
      <c r="V230" s="32"/>
      <c r="W230" s="32"/>
      <c r="X230" s="32"/>
    </row>
    <row r="231">
      <c r="A231" s="67"/>
      <c r="B231" s="81"/>
      <c r="C231" s="79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32"/>
      <c r="S231" s="32"/>
      <c r="T231" s="32"/>
      <c r="U231" s="32"/>
      <c r="V231" s="32"/>
      <c r="W231" s="32"/>
      <c r="X231" s="32"/>
    </row>
    <row r="232">
      <c r="A232" s="67"/>
      <c r="B232" s="81"/>
      <c r="C232" s="79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32"/>
      <c r="S232" s="32"/>
      <c r="T232" s="32"/>
      <c r="U232" s="32"/>
      <c r="V232" s="32"/>
      <c r="W232" s="32"/>
      <c r="X232" s="32"/>
    </row>
    <row r="233">
      <c r="A233" s="67"/>
      <c r="B233" s="81"/>
      <c r="C233" s="79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32"/>
      <c r="S233" s="32"/>
      <c r="T233" s="32"/>
      <c r="U233" s="32"/>
      <c r="V233" s="32"/>
      <c r="W233" s="32"/>
      <c r="X233" s="32"/>
    </row>
    <row r="234">
      <c r="A234" s="67"/>
      <c r="B234" s="81"/>
      <c r="C234" s="79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32"/>
      <c r="S234" s="32"/>
      <c r="T234" s="32"/>
      <c r="U234" s="32"/>
      <c r="V234" s="32"/>
      <c r="W234" s="32"/>
      <c r="X234" s="32"/>
    </row>
    <row r="235">
      <c r="A235" s="67"/>
      <c r="B235" s="81"/>
      <c r="C235" s="79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32"/>
      <c r="S235" s="32"/>
      <c r="T235" s="32"/>
      <c r="U235" s="32"/>
      <c r="V235" s="32"/>
      <c r="W235" s="32"/>
      <c r="X235" s="32"/>
    </row>
    <row r="236">
      <c r="A236" s="67"/>
      <c r="B236" s="81"/>
      <c r="C236" s="79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32"/>
      <c r="S236" s="32"/>
      <c r="T236" s="32"/>
      <c r="U236" s="32"/>
      <c r="V236" s="32"/>
      <c r="W236" s="32"/>
      <c r="X236" s="32"/>
    </row>
    <row r="237">
      <c r="A237" s="67"/>
      <c r="B237" s="81"/>
      <c r="C237" s="79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32"/>
      <c r="S237" s="32"/>
      <c r="T237" s="32"/>
      <c r="U237" s="32"/>
      <c r="V237" s="32"/>
      <c r="W237" s="32"/>
      <c r="X237" s="32"/>
    </row>
    <row r="238">
      <c r="A238" s="67"/>
      <c r="B238" s="81"/>
      <c r="C238" s="79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32"/>
      <c r="S238" s="32"/>
      <c r="T238" s="32"/>
      <c r="U238" s="32"/>
      <c r="V238" s="32"/>
      <c r="W238" s="32"/>
      <c r="X238" s="32"/>
    </row>
    <row r="239">
      <c r="A239" s="67"/>
      <c r="B239" s="81"/>
      <c r="C239" s="79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32"/>
      <c r="S239" s="32"/>
      <c r="T239" s="32"/>
      <c r="U239" s="32"/>
      <c r="V239" s="32"/>
      <c r="W239" s="32"/>
      <c r="X239" s="32"/>
    </row>
    <row r="240">
      <c r="A240" s="67"/>
      <c r="B240" s="81"/>
      <c r="C240" s="79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32"/>
      <c r="S240" s="32"/>
      <c r="T240" s="32"/>
      <c r="U240" s="32"/>
      <c r="V240" s="32"/>
      <c r="W240" s="32"/>
      <c r="X240" s="32"/>
    </row>
    <row r="241">
      <c r="A241" s="67"/>
      <c r="B241" s="81"/>
      <c r="C241" s="79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32"/>
      <c r="S241" s="32"/>
      <c r="T241" s="32"/>
      <c r="U241" s="32"/>
      <c r="V241" s="32"/>
      <c r="W241" s="32"/>
      <c r="X241" s="32"/>
    </row>
    <row r="242">
      <c r="A242" s="67"/>
      <c r="B242" s="81"/>
      <c r="C242" s="79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32"/>
      <c r="S242" s="32"/>
      <c r="T242" s="32"/>
      <c r="U242" s="32"/>
      <c r="V242" s="32"/>
      <c r="W242" s="32"/>
      <c r="X242" s="32"/>
    </row>
    <row r="243">
      <c r="A243" s="67"/>
      <c r="B243" s="81"/>
      <c r="C243" s="79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32"/>
      <c r="S243" s="32"/>
      <c r="T243" s="32"/>
      <c r="U243" s="32"/>
      <c r="V243" s="32"/>
      <c r="W243" s="32"/>
      <c r="X243" s="32"/>
    </row>
    <row r="244">
      <c r="A244" s="67"/>
      <c r="B244" s="81"/>
      <c r="C244" s="79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32"/>
      <c r="S244" s="32"/>
      <c r="T244" s="32"/>
      <c r="U244" s="32"/>
      <c r="V244" s="32"/>
      <c r="W244" s="32"/>
      <c r="X244" s="32"/>
    </row>
    <row r="245">
      <c r="A245" s="67"/>
      <c r="B245" s="81"/>
      <c r="C245" s="79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32"/>
      <c r="S245" s="32"/>
      <c r="T245" s="32"/>
      <c r="U245" s="32"/>
      <c r="V245" s="32"/>
      <c r="W245" s="32"/>
      <c r="X245" s="32"/>
    </row>
    <row r="246">
      <c r="A246" s="67"/>
      <c r="B246" s="81"/>
      <c r="C246" s="79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32"/>
      <c r="S246" s="32"/>
      <c r="T246" s="32"/>
      <c r="U246" s="32"/>
      <c r="V246" s="32"/>
      <c r="W246" s="32"/>
      <c r="X246" s="32"/>
    </row>
    <row r="247">
      <c r="A247" s="67"/>
      <c r="B247" s="81"/>
      <c r="C247" s="79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32"/>
      <c r="S247" s="32"/>
      <c r="T247" s="32"/>
      <c r="U247" s="32"/>
      <c r="V247" s="32"/>
      <c r="W247" s="32"/>
      <c r="X247" s="32"/>
    </row>
    <row r="248">
      <c r="A248" s="67"/>
      <c r="B248" s="81"/>
      <c r="C248" s="79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32"/>
      <c r="S248" s="32"/>
      <c r="T248" s="32"/>
      <c r="U248" s="32"/>
      <c r="V248" s="32"/>
      <c r="W248" s="32"/>
      <c r="X248" s="32"/>
    </row>
    <row r="249">
      <c r="A249" s="67"/>
      <c r="B249" s="81"/>
      <c r="C249" s="79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32"/>
      <c r="S249" s="32"/>
      <c r="T249" s="32"/>
      <c r="U249" s="32"/>
      <c r="V249" s="32"/>
      <c r="W249" s="32"/>
      <c r="X249" s="32"/>
    </row>
    <row r="250">
      <c r="A250" s="67"/>
      <c r="B250" s="81"/>
      <c r="C250" s="79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32"/>
      <c r="S250" s="32"/>
      <c r="T250" s="32"/>
      <c r="U250" s="32"/>
      <c r="V250" s="32"/>
      <c r="W250" s="32"/>
      <c r="X250" s="32"/>
    </row>
    <row r="251">
      <c r="A251" s="67"/>
      <c r="B251" s="81"/>
      <c r="C251" s="79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32"/>
      <c r="S251" s="32"/>
      <c r="T251" s="32"/>
      <c r="U251" s="32"/>
      <c r="V251" s="32"/>
      <c r="W251" s="32"/>
      <c r="X251" s="32"/>
    </row>
    <row r="252">
      <c r="A252" s="67"/>
      <c r="B252" s="81"/>
      <c r="C252" s="79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32"/>
      <c r="S252" s="32"/>
      <c r="T252" s="32"/>
      <c r="U252" s="32"/>
      <c r="V252" s="32"/>
      <c r="W252" s="32"/>
      <c r="X252" s="32"/>
    </row>
    <row r="253">
      <c r="A253" s="67"/>
      <c r="B253" s="81"/>
      <c r="C253" s="79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32"/>
      <c r="S253" s="32"/>
      <c r="T253" s="32"/>
      <c r="U253" s="32"/>
      <c r="V253" s="32"/>
      <c r="W253" s="32"/>
      <c r="X253" s="32"/>
    </row>
    <row r="254">
      <c r="A254" s="67"/>
      <c r="B254" s="81"/>
      <c r="C254" s="79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32"/>
      <c r="S254" s="32"/>
      <c r="T254" s="32"/>
      <c r="U254" s="32"/>
      <c r="V254" s="32"/>
      <c r="W254" s="32"/>
      <c r="X254" s="32"/>
    </row>
    <row r="255">
      <c r="A255" s="67"/>
      <c r="B255" s="81"/>
      <c r="C255" s="79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32"/>
      <c r="S255" s="32"/>
      <c r="T255" s="32"/>
      <c r="U255" s="32"/>
      <c r="V255" s="32"/>
      <c r="W255" s="32"/>
      <c r="X255" s="32"/>
    </row>
    <row r="256">
      <c r="A256" s="67"/>
      <c r="B256" s="81"/>
      <c r="C256" s="79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32"/>
      <c r="S256" s="32"/>
      <c r="T256" s="32"/>
      <c r="U256" s="32"/>
      <c r="V256" s="32"/>
      <c r="W256" s="32"/>
      <c r="X256" s="32"/>
    </row>
    <row r="257">
      <c r="A257" s="67"/>
      <c r="B257" s="81"/>
      <c r="C257" s="79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32"/>
      <c r="S257" s="32"/>
      <c r="T257" s="32"/>
      <c r="U257" s="32"/>
      <c r="V257" s="32"/>
      <c r="W257" s="32"/>
      <c r="X257" s="32"/>
    </row>
    <row r="258">
      <c r="A258" s="67"/>
      <c r="B258" s="81"/>
      <c r="C258" s="79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32"/>
      <c r="S258" s="32"/>
      <c r="T258" s="32"/>
      <c r="U258" s="32"/>
      <c r="V258" s="32"/>
      <c r="W258" s="32"/>
      <c r="X258" s="32"/>
    </row>
    <row r="259">
      <c r="A259" s="67"/>
      <c r="B259" s="81"/>
      <c r="C259" s="79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32"/>
      <c r="S259" s="32"/>
      <c r="T259" s="32"/>
      <c r="U259" s="32"/>
      <c r="V259" s="32"/>
      <c r="W259" s="32"/>
      <c r="X259" s="32"/>
    </row>
    <row r="260">
      <c r="A260" s="67"/>
      <c r="B260" s="81"/>
      <c r="C260" s="79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32"/>
      <c r="S260" s="32"/>
      <c r="T260" s="32"/>
      <c r="U260" s="32"/>
      <c r="V260" s="32"/>
      <c r="W260" s="32"/>
      <c r="X260" s="32"/>
    </row>
    <row r="261">
      <c r="A261" s="67"/>
      <c r="B261" s="81"/>
      <c r="C261" s="79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32"/>
      <c r="S261" s="32"/>
      <c r="T261" s="32"/>
      <c r="U261" s="32"/>
      <c r="V261" s="32"/>
      <c r="W261" s="32"/>
      <c r="X261" s="32"/>
    </row>
    <row r="262">
      <c r="A262" s="67"/>
      <c r="B262" s="81"/>
      <c r="C262" s="79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32"/>
      <c r="S262" s="32"/>
      <c r="T262" s="32"/>
      <c r="U262" s="32"/>
      <c r="V262" s="32"/>
      <c r="W262" s="32"/>
      <c r="X262" s="32"/>
    </row>
    <row r="263">
      <c r="A263" s="67"/>
      <c r="B263" s="81"/>
      <c r="C263" s="79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32"/>
      <c r="S263" s="32"/>
      <c r="T263" s="32"/>
      <c r="U263" s="32"/>
      <c r="V263" s="32"/>
      <c r="W263" s="32"/>
      <c r="X263" s="32"/>
    </row>
    <row r="264">
      <c r="A264" s="67"/>
      <c r="B264" s="81"/>
      <c r="C264" s="79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32"/>
      <c r="S264" s="32"/>
      <c r="T264" s="32"/>
      <c r="U264" s="32"/>
      <c r="V264" s="32"/>
      <c r="W264" s="32"/>
      <c r="X264" s="32"/>
    </row>
    <row r="265">
      <c r="A265" s="67"/>
      <c r="B265" s="81"/>
      <c r="C265" s="79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32"/>
      <c r="S265" s="32"/>
      <c r="T265" s="32"/>
      <c r="U265" s="32"/>
      <c r="V265" s="32"/>
      <c r="W265" s="32"/>
      <c r="X265" s="32"/>
    </row>
    <row r="266">
      <c r="A266" s="67"/>
      <c r="B266" s="81"/>
      <c r="C266" s="79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32"/>
      <c r="S266" s="32"/>
      <c r="T266" s="32"/>
      <c r="U266" s="32"/>
      <c r="V266" s="32"/>
      <c r="W266" s="32"/>
      <c r="X266" s="32"/>
    </row>
    <row r="267">
      <c r="A267" s="67"/>
      <c r="B267" s="81"/>
      <c r="C267" s="79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32"/>
      <c r="S267" s="32"/>
      <c r="T267" s="32"/>
      <c r="U267" s="32"/>
      <c r="V267" s="32"/>
      <c r="W267" s="32"/>
      <c r="X267" s="32"/>
    </row>
    <row r="268">
      <c r="A268" s="67"/>
      <c r="B268" s="81"/>
      <c r="C268" s="79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32"/>
      <c r="S268" s="32"/>
      <c r="T268" s="32"/>
      <c r="U268" s="32"/>
      <c r="V268" s="32"/>
      <c r="W268" s="32"/>
      <c r="X268" s="32"/>
    </row>
    <row r="269">
      <c r="A269" s="67"/>
      <c r="B269" s="81"/>
      <c r="C269" s="79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32"/>
      <c r="S269" s="32"/>
      <c r="T269" s="32"/>
      <c r="U269" s="32"/>
      <c r="V269" s="32"/>
      <c r="W269" s="32"/>
      <c r="X269" s="32"/>
    </row>
    <row r="270">
      <c r="A270" s="67"/>
      <c r="B270" s="81"/>
      <c r="C270" s="79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32"/>
      <c r="S270" s="32"/>
      <c r="T270" s="32"/>
      <c r="U270" s="32"/>
      <c r="V270" s="32"/>
      <c r="W270" s="32"/>
      <c r="X270" s="32"/>
    </row>
    <row r="271">
      <c r="A271" s="67"/>
      <c r="B271" s="81"/>
      <c r="C271" s="79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32"/>
      <c r="S271" s="32"/>
      <c r="T271" s="32"/>
      <c r="U271" s="32"/>
      <c r="V271" s="32"/>
      <c r="W271" s="32"/>
      <c r="X271" s="32"/>
    </row>
    <row r="272">
      <c r="A272" s="67"/>
      <c r="B272" s="81"/>
      <c r="C272" s="79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32"/>
      <c r="S272" s="32"/>
      <c r="T272" s="32"/>
      <c r="U272" s="32"/>
      <c r="V272" s="32"/>
      <c r="W272" s="32"/>
      <c r="X272" s="32"/>
    </row>
    <row r="273">
      <c r="A273" s="67"/>
      <c r="B273" s="81"/>
      <c r="C273" s="79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32"/>
      <c r="S273" s="32"/>
      <c r="T273" s="32"/>
      <c r="U273" s="32"/>
      <c r="V273" s="32"/>
      <c r="W273" s="32"/>
      <c r="X273" s="32"/>
    </row>
    <row r="274">
      <c r="A274" s="67"/>
      <c r="B274" s="81"/>
      <c r="C274" s="79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32"/>
      <c r="S274" s="32"/>
      <c r="T274" s="32"/>
      <c r="U274" s="32"/>
      <c r="V274" s="32"/>
      <c r="W274" s="32"/>
      <c r="X274" s="32"/>
    </row>
    <row r="275">
      <c r="A275" s="67"/>
      <c r="B275" s="81"/>
      <c r="C275" s="79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32"/>
      <c r="S275" s="32"/>
      <c r="T275" s="32"/>
      <c r="U275" s="32"/>
      <c r="V275" s="32"/>
      <c r="W275" s="32"/>
      <c r="X275" s="32"/>
    </row>
    <row r="276">
      <c r="A276" s="67"/>
      <c r="B276" s="81"/>
      <c r="C276" s="79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32"/>
      <c r="S276" s="32"/>
      <c r="T276" s="32"/>
      <c r="U276" s="32"/>
      <c r="V276" s="32"/>
      <c r="W276" s="32"/>
      <c r="X276" s="32"/>
    </row>
    <row r="277">
      <c r="A277" s="67"/>
      <c r="B277" s="81"/>
      <c r="C277" s="79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32"/>
      <c r="S277" s="32"/>
      <c r="T277" s="32"/>
      <c r="U277" s="32"/>
      <c r="V277" s="32"/>
      <c r="W277" s="32"/>
      <c r="X277" s="32"/>
    </row>
    <row r="278">
      <c r="A278" s="67"/>
      <c r="B278" s="81"/>
      <c r="C278" s="79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32"/>
      <c r="S278" s="32"/>
      <c r="T278" s="32"/>
      <c r="U278" s="32"/>
      <c r="V278" s="32"/>
      <c r="W278" s="32"/>
      <c r="X278" s="32"/>
    </row>
    <row r="279">
      <c r="A279" s="67"/>
      <c r="B279" s="81"/>
      <c r="C279" s="79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32"/>
      <c r="S279" s="32"/>
      <c r="T279" s="32"/>
      <c r="U279" s="32"/>
      <c r="V279" s="32"/>
      <c r="W279" s="32"/>
      <c r="X279" s="32"/>
    </row>
    <row r="280">
      <c r="A280" s="67"/>
      <c r="B280" s="81"/>
      <c r="C280" s="79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32"/>
      <c r="S280" s="32"/>
      <c r="T280" s="32"/>
      <c r="U280" s="32"/>
      <c r="V280" s="32"/>
      <c r="W280" s="32"/>
      <c r="X280" s="32"/>
    </row>
    <row r="281">
      <c r="A281" s="67"/>
      <c r="B281" s="81"/>
      <c r="C281" s="79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32"/>
      <c r="S281" s="32"/>
      <c r="T281" s="32"/>
      <c r="U281" s="32"/>
      <c r="V281" s="32"/>
      <c r="W281" s="32"/>
      <c r="X281" s="32"/>
    </row>
    <row r="282">
      <c r="A282" s="67"/>
      <c r="B282" s="81"/>
      <c r="C282" s="79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32"/>
      <c r="S282" s="32"/>
      <c r="T282" s="32"/>
      <c r="U282" s="32"/>
      <c r="V282" s="32"/>
      <c r="W282" s="32"/>
      <c r="X282" s="32"/>
    </row>
    <row r="283">
      <c r="A283" s="67"/>
      <c r="B283" s="81"/>
      <c r="C283" s="79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32"/>
      <c r="S283" s="32"/>
      <c r="T283" s="32"/>
      <c r="U283" s="32"/>
      <c r="V283" s="32"/>
      <c r="W283" s="32"/>
      <c r="X283" s="32"/>
    </row>
    <row r="284">
      <c r="A284" s="67"/>
      <c r="B284" s="81"/>
      <c r="C284" s="79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32"/>
      <c r="S284" s="32"/>
      <c r="T284" s="32"/>
      <c r="U284" s="32"/>
      <c r="V284" s="32"/>
      <c r="W284" s="32"/>
      <c r="X284" s="32"/>
    </row>
    <row r="285">
      <c r="A285" s="67"/>
      <c r="B285" s="81"/>
      <c r="C285" s="79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32"/>
      <c r="S285" s="32"/>
      <c r="T285" s="32"/>
      <c r="U285" s="32"/>
      <c r="V285" s="32"/>
      <c r="W285" s="32"/>
      <c r="X285" s="32"/>
    </row>
    <row r="286">
      <c r="A286" s="67"/>
      <c r="B286" s="81"/>
      <c r="C286" s="79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32"/>
      <c r="S286" s="32"/>
      <c r="T286" s="32"/>
      <c r="U286" s="32"/>
      <c r="V286" s="32"/>
      <c r="W286" s="32"/>
      <c r="X286" s="32"/>
    </row>
    <row r="287">
      <c r="A287" s="67"/>
      <c r="B287" s="81"/>
      <c r="C287" s="79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32"/>
      <c r="S287" s="32"/>
      <c r="T287" s="32"/>
      <c r="U287" s="32"/>
      <c r="V287" s="32"/>
      <c r="W287" s="32"/>
      <c r="X287" s="32"/>
    </row>
    <row r="288">
      <c r="A288" s="67"/>
      <c r="B288" s="81"/>
      <c r="C288" s="79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32"/>
      <c r="S288" s="32"/>
      <c r="T288" s="32"/>
      <c r="U288" s="32"/>
      <c r="V288" s="32"/>
      <c r="W288" s="32"/>
      <c r="X288" s="32"/>
    </row>
    <row r="289">
      <c r="A289" s="67"/>
      <c r="B289" s="81"/>
      <c r="C289" s="79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32"/>
      <c r="S289" s="32"/>
      <c r="T289" s="32"/>
      <c r="U289" s="32"/>
      <c r="V289" s="32"/>
      <c r="W289" s="32"/>
      <c r="X289" s="32"/>
    </row>
    <row r="290">
      <c r="A290" s="67"/>
      <c r="B290" s="81"/>
      <c r="C290" s="79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32"/>
      <c r="S290" s="32"/>
      <c r="T290" s="32"/>
      <c r="U290" s="32"/>
      <c r="V290" s="32"/>
      <c r="W290" s="32"/>
      <c r="X290" s="32"/>
    </row>
    <row r="291">
      <c r="A291" s="67"/>
      <c r="B291" s="81"/>
      <c r="C291" s="79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32"/>
      <c r="S291" s="32"/>
      <c r="T291" s="32"/>
      <c r="U291" s="32"/>
      <c r="V291" s="32"/>
      <c r="W291" s="32"/>
      <c r="X291" s="32"/>
    </row>
    <row r="292">
      <c r="A292" s="67"/>
      <c r="B292" s="81"/>
      <c r="C292" s="79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32"/>
      <c r="S292" s="32"/>
      <c r="T292" s="32"/>
      <c r="U292" s="32"/>
      <c r="V292" s="32"/>
      <c r="W292" s="32"/>
      <c r="X292" s="32"/>
    </row>
    <row r="293">
      <c r="A293" s="67"/>
      <c r="B293" s="81"/>
      <c r="C293" s="79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32"/>
      <c r="S293" s="32"/>
      <c r="T293" s="32"/>
      <c r="U293" s="32"/>
      <c r="V293" s="32"/>
      <c r="W293" s="32"/>
      <c r="X293" s="32"/>
    </row>
    <row r="294">
      <c r="A294" s="67"/>
      <c r="B294" s="81"/>
      <c r="C294" s="79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32"/>
      <c r="S294" s="32"/>
      <c r="T294" s="32"/>
      <c r="U294" s="32"/>
      <c r="V294" s="32"/>
      <c r="W294" s="32"/>
      <c r="X294" s="32"/>
    </row>
    <row r="295">
      <c r="A295" s="67"/>
      <c r="B295" s="81"/>
      <c r="C295" s="79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32"/>
      <c r="S295" s="32"/>
      <c r="T295" s="32"/>
      <c r="U295" s="32"/>
      <c r="V295" s="32"/>
      <c r="W295" s="32"/>
      <c r="X295" s="32"/>
    </row>
    <row r="296">
      <c r="A296" s="67"/>
      <c r="B296" s="81"/>
      <c r="C296" s="79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32"/>
      <c r="S296" s="32"/>
      <c r="T296" s="32"/>
      <c r="U296" s="32"/>
      <c r="V296" s="32"/>
      <c r="W296" s="32"/>
      <c r="X296" s="32"/>
    </row>
    <row r="297">
      <c r="A297" s="67"/>
      <c r="B297" s="81"/>
      <c r="C297" s="79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32"/>
      <c r="S297" s="32"/>
      <c r="T297" s="32"/>
      <c r="U297" s="32"/>
      <c r="V297" s="32"/>
      <c r="W297" s="32"/>
      <c r="X297" s="32"/>
    </row>
    <row r="298">
      <c r="A298" s="67"/>
      <c r="B298" s="81"/>
      <c r="C298" s="79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32"/>
      <c r="S298" s="32"/>
      <c r="T298" s="32"/>
      <c r="U298" s="32"/>
      <c r="V298" s="32"/>
      <c r="W298" s="32"/>
      <c r="X298" s="32"/>
    </row>
    <row r="299">
      <c r="A299" s="67"/>
      <c r="B299" s="81"/>
      <c r="C299" s="79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32"/>
      <c r="S299" s="32"/>
      <c r="T299" s="32"/>
      <c r="U299" s="32"/>
      <c r="V299" s="32"/>
      <c r="W299" s="32"/>
      <c r="X299" s="32"/>
    </row>
    <row r="300">
      <c r="A300" s="67"/>
      <c r="B300" s="81"/>
      <c r="C300" s="79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32"/>
      <c r="S300" s="32"/>
      <c r="T300" s="32"/>
      <c r="U300" s="32"/>
      <c r="V300" s="32"/>
      <c r="W300" s="32"/>
      <c r="X300" s="32"/>
    </row>
    <row r="301">
      <c r="A301" s="67"/>
      <c r="B301" s="81"/>
      <c r="C301" s="79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32"/>
      <c r="S301" s="32"/>
      <c r="T301" s="32"/>
      <c r="U301" s="32"/>
      <c r="V301" s="32"/>
      <c r="W301" s="32"/>
      <c r="X301" s="32"/>
    </row>
    <row r="302">
      <c r="A302" s="67"/>
      <c r="B302" s="81"/>
      <c r="C302" s="79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32"/>
      <c r="S302" s="32"/>
      <c r="T302" s="32"/>
      <c r="U302" s="32"/>
      <c r="V302" s="32"/>
      <c r="W302" s="32"/>
      <c r="X302" s="32"/>
    </row>
    <row r="303">
      <c r="A303" s="67"/>
      <c r="B303" s="81"/>
      <c r="C303" s="79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32"/>
      <c r="S303" s="32"/>
      <c r="T303" s="32"/>
      <c r="U303" s="32"/>
      <c r="V303" s="32"/>
      <c r="W303" s="32"/>
      <c r="X303" s="32"/>
    </row>
    <row r="304">
      <c r="A304" s="67"/>
      <c r="B304" s="81"/>
      <c r="C304" s="79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32"/>
      <c r="S304" s="32"/>
      <c r="T304" s="32"/>
      <c r="U304" s="32"/>
      <c r="V304" s="32"/>
      <c r="W304" s="32"/>
      <c r="X304" s="32"/>
    </row>
    <row r="305">
      <c r="A305" s="67"/>
      <c r="B305" s="81"/>
      <c r="C305" s="79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32"/>
      <c r="S305" s="32"/>
      <c r="T305" s="32"/>
      <c r="U305" s="32"/>
      <c r="V305" s="32"/>
      <c r="W305" s="32"/>
      <c r="X305" s="32"/>
    </row>
    <row r="306">
      <c r="A306" s="67"/>
      <c r="B306" s="81"/>
      <c r="C306" s="79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32"/>
      <c r="S306" s="32"/>
      <c r="T306" s="32"/>
      <c r="U306" s="32"/>
      <c r="V306" s="32"/>
      <c r="W306" s="32"/>
      <c r="X306" s="32"/>
    </row>
    <row r="307">
      <c r="A307" s="67"/>
      <c r="B307" s="81"/>
      <c r="C307" s="79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32"/>
      <c r="S307" s="32"/>
      <c r="T307" s="32"/>
      <c r="U307" s="32"/>
      <c r="V307" s="32"/>
      <c r="W307" s="32"/>
      <c r="X307" s="32"/>
    </row>
    <row r="308">
      <c r="A308" s="67"/>
      <c r="B308" s="81"/>
      <c r="C308" s="79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32"/>
      <c r="S308" s="32"/>
      <c r="T308" s="32"/>
      <c r="U308" s="32"/>
      <c r="V308" s="32"/>
      <c r="W308" s="32"/>
      <c r="X308" s="32"/>
    </row>
    <row r="309">
      <c r="A309" s="67"/>
      <c r="B309" s="81"/>
      <c r="C309" s="79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32"/>
      <c r="S309" s="32"/>
      <c r="T309" s="32"/>
      <c r="U309" s="32"/>
      <c r="V309" s="32"/>
      <c r="W309" s="32"/>
      <c r="X309" s="32"/>
    </row>
    <row r="310">
      <c r="A310" s="67"/>
      <c r="B310" s="81"/>
      <c r="C310" s="79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32"/>
      <c r="S310" s="32"/>
      <c r="T310" s="32"/>
      <c r="U310" s="32"/>
      <c r="V310" s="32"/>
      <c r="W310" s="32"/>
      <c r="X310" s="32"/>
    </row>
    <row r="311">
      <c r="A311" s="67"/>
      <c r="B311" s="81"/>
      <c r="C311" s="79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32"/>
      <c r="S311" s="32"/>
      <c r="T311" s="32"/>
      <c r="U311" s="32"/>
      <c r="V311" s="32"/>
      <c r="W311" s="32"/>
      <c r="X311" s="32"/>
    </row>
    <row r="312">
      <c r="A312" s="67"/>
      <c r="B312" s="81"/>
      <c r="C312" s="79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32"/>
      <c r="S312" s="32"/>
      <c r="T312" s="32"/>
      <c r="U312" s="32"/>
      <c r="V312" s="32"/>
      <c r="W312" s="32"/>
      <c r="X312" s="32"/>
    </row>
    <row r="313">
      <c r="A313" s="67"/>
      <c r="B313" s="81"/>
      <c r="C313" s="79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32"/>
      <c r="S313" s="32"/>
      <c r="T313" s="32"/>
      <c r="U313" s="32"/>
      <c r="V313" s="32"/>
      <c r="W313" s="32"/>
      <c r="X313" s="32"/>
    </row>
    <row r="314">
      <c r="A314" s="67"/>
      <c r="B314" s="81"/>
      <c r="C314" s="79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32"/>
      <c r="S314" s="32"/>
      <c r="T314" s="32"/>
      <c r="U314" s="32"/>
      <c r="V314" s="32"/>
      <c r="W314" s="32"/>
      <c r="X314" s="32"/>
    </row>
    <row r="315">
      <c r="A315" s="67"/>
      <c r="B315" s="81"/>
      <c r="C315" s="79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32"/>
      <c r="S315" s="32"/>
      <c r="T315" s="32"/>
      <c r="U315" s="32"/>
      <c r="V315" s="32"/>
      <c r="W315" s="32"/>
      <c r="X315" s="32"/>
    </row>
    <row r="316">
      <c r="A316" s="67"/>
      <c r="B316" s="81"/>
      <c r="C316" s="79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32"/>
      <c r="S316" s="32"/>
      <c r="T316" s="32"/>
      <c r="U316" s="32"/>
      <c r="V316" s="32"/>
      <c r="W316" s="32"/>
      <c r="X316" s="32"/>
    </row>
    <row r="317">
      <c r="A317" s="67"/>
      <c r="B317" s="81"/>
      <c r="C317" s="79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32"/>
      <c r="S317" s="32"/>
      <c r="T317" s="32"/>
      <c r="U317" s="32"/>
      <c r="V317" s="32"/>
      <c r="W317" s="32"/>
      <c r="X317" s="32"/>
    </row>
    <row r="318">
      <c r="A318" s="67"/>
      <c r="B318" s="81"/>
      <c r="C318" s="79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32"/>
      <c r="S318" s="32"/>
      <c r="T318" s="32"/>
      <c r="U318" s="32"/>
      <c r="V318" s="32"/>
      <c r="W318" s="32"/>
      <c r="X318" s="32"/>
    </row>
    <row r="319">
      <c r="A319" s="67"/>
      <c r="B319" s="81"/>
      <c r="C319" s="79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32"/>
      <c r="S319" s="32"/>
      <c r="T319" s="32"/>
      <c r="U319" s="32"/>
      <c r="V319" s="32"/>
      <c r="W319" s="32"/>
      <c r="X319" s="32"/>
    </row>
    <row r="320">
      <c r="A320" s="67"/>
      <c r="B320" s="81"/>
      <c r="C320" s="79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32"/>
      <c r="S320" s="32"/>
      <c r="T320" s="32"/>
      <c r="U320" s="32"/>
      <c r="V320" s="32"/>
      <c r="W320" s="32"/>
      <c r="X320" s="32"/>
    </row>
    <row r="321">
      <c r="A321" s="67"/>
      <c r="B321" s="81"/>
      <c r="C321" s="79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32"/>
      <c r="S321" s="32"/>
      <c r="T321" s="32"/>
      <c r="U321" s="32"/>
      <c r="V321" s="32"/>
      <c r="W321" s="32"/>
      <c r="X321" s="32"/>
    </row>
    <row r="322">
      <c r="A322" s="67"/>
      <c r="B322" s="81"/>
      <c r="C322" s="79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32"/>
      <c r="S322" s="32"/>
      <c r="T322" s="32"/>
      <c r="U322" s="32"/>
      <c r="V322" s="32"/>
      <c r="W322" s="32"/>
      <c r="X322" s="32"/>
    </row>
    <row r="323">
      <c r="A323" s="67"/>
      <c r="B323" s="81"/>
      <c r="C323" s="79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32"/>
      <c r="S323" s="32"/>
      <c r="T323" s="32"/>
      <c r="U323" s="32"/>
      <c r="V323" s="32"/>
      <c r="W323" s="32"/>
      <c r="X323" s="32"/>
    </row>
    <row r="324">
      <c r="A324" s="67"/>
      <c r="B324" s="81"/>
      <c r="C324" s="79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32"/>
      <c r="S324" s="32"/>
      <c r="T324" s="32"/>
      <c r="U324" s="32"/>
      <c r="V324" s="32"/>
      <c r="W324" s="32"/>
      <c r="X324" s="32"/>
    </row>
    <row r="325">
      <c r="A325" s="67"/>
      <c r="B325" s="81"/>
      <c r="C325" s="79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32"/>
      <c r="S325" s="32"/>
      <c r="T325" s="32"/>
      <c r="U325" s="32"/>
      <c r="V325" s="32"/>
      <c r="W325" s="32"/>
      <c r="X325" s="32"/>
    </row>
    <row r="326">
      <c r="A326" s="67"/>
      <c r="B326" s="81"/>
      <c r="C326" s="79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32"/>
      <c r="S326" s="32"/>
      <c r="T326" s="32"/>
      <c r="U326" s="32"/>
      <c r="V326" s="32"/>
      <c r="W326" s="32"/>
      <c r="X326" s="32"/>
    </row>
    <row r="327">
      <c r="A327" s="67"/>
      <c r="B327" s="81"/>
      <c r="C327" s="79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32"/>
      <c r="S327" s="32"/>
      <c r="T327" s="32"/>
      <c r="U327" s="32"/>
      <c r="V327" s="32"/>
      <c r="W327" s="32"/>
      <c r="X327" s="32"/>
    </row>
    <row r="328">
      <c r="A328" s="67"/>
      <c r="B328" s="81"/>
      <c r="C328" s="79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32"/>
      <c r="S328" s="32"/>
      <c r="T328" s="32"/>
      <c r="U328" s="32"/>
      <c r="V328" s="32"/>
      <c r="W328" s="32"/>
      <c r="X328" s="32"/>
    </row>
    <row r="329">
      <c r="A329" s="67"/>
      <c r="B329" s="81"/>
      <c r="C329" s="79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32"/>
      <c r="S329" s="32"/>
      <c r="T329" s="32"/>
      <c r="U329" s="32"/>
      <c r="V329" s="32"/>
      <c r="W329" s="32"/>
      <c r="X329" s="32"/>
    </row>
    <row r="330">
      <c r="A330" s="67"/>
      <c r="B330" s="81"/>
      <c r="C330" s="79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32"/>
      <c r="S330" s="32"/>
      <c r="T330" s="32"/>
      <c r="U330" s="32"/>
      <c r="V330" s="32"/>
      <c r="W330" s="32"/>
      <c r="X330" s="32"/>
    </row>
    <row r="331">
      <c r="A331" s="67"/>
      <c r="B331" s="81"/>
      <c r="C331" s="79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32"/>
      <c r="S331" s="32"/>
      <c r="T331" s="32"/>
      <c r="U331" s="32"/>
      <c r="V331" s="32"/>
      <c r="W331" s="32"/>
      <c r="X331" s="32"/>
    </row>
    <row r="332">
      <c r="A332" s="67"/>
      <c r="B332" s="81"/>
      <c r="C332" s="79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32"/>
      <c r="S332" s="32"/>
      <c r="T332" s="32"/>
      <c r="U332" s="32"/>
      <c r="V332" s="32"/>
      <c r="W332" s="32"/>
      <c r="X332" s="32"/>
    </row>
    <row r="333">
      <c r="A333" s="67"/>
      <c r="B333" s="81"/>
      <c r="C333" s="79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32"/>
      <c r="S333" s="32"/>
      <c r="T333" s="32"/>
      <c r="U333" s="32"/>
      <c r="V333" s="32"/>
      <c r="W333" s="32"/>
      <c r="X333" s="32"/>
    </row>
    <row r="334">
      <c r="A334" s="67"/>
      <c r="B334" s="81"/>
      <c r="C334" s="79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32"/>
      <c r="S334" s="32"/>
      <c r="T334" s="32"/>
      <c r="U334" s="32"/>
      <c r="V334" s="32"/>
      <c r="W334" s="32"/>
      <c r="X334" s="32"/>
    </row>
    <row r="335">
      <c r="A335" s="67"/>
      <c r="B335" s="81"/>
      <c r="C335" s="79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32"/>
      <c r="S335" s="32"/>
      <c r="T335" s="32"/>
      <c r="U335" s="32"/>
      <c r="V335" s="32"/>
      <c r="W335" s="32"/>
      <c r="X335" s="32"/>
    </row>
    <row r="336">
      <c r="A336" s="67"/>
      <c r="B336" s="81"/>
      <c r="C336" s="79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32"/>
      <c r="S336" s="32"/>
      <c r="T336" s="32"/>
      <c r="U336" s="32"/>
      <c r="V336" s="32"/>
      <c r="W336" s="32"/>
      <c r="X336" s="32"/>
    </row>
    <row r="337">
      <c r="A337" s="67"/>
      <c r="B337" s="81"/>
      <c r="C337" s="79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32"/>
      <c r="S337" s="32"/>
      <c r="T337" s="32"/>
      <c r="U337" s="32"/>
      <c r="V337" s="32"/>
      <c r="W337" s="32"/>
      <c r="X337" s="32"/>
    </row>
    <row r="338">
      <c r="A338" s="67"/>
      <c r="B338" s="81"/>
      <c r="C338" s="79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32"/>
      <c r="S338" s="32"/>
      <c r="T338" s="32"/>
      <c r="U338" s="32"/>
      <c r="V338" s="32"/>
      <c r="W338" s="32"/>
      <c r="X338" s="32"/>
    </row>
    <row r="339">
      <c r="A339" s="67"/>
      <c r="B339" s="81"/>
      <c r="C339" s="79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32"/>
      <c r="S339" s="32"/>
      <c r="T339" s="32"/>
      <c r="U339" s="32"/>
      <c r="V339" s="32"/>
      <c r="W339" s="32"/>
      <c r="X339" s="32"/>
    </row>
    <row r="340">
      <c r="A340" s="67"/>
      <c r="B340" s="81"/>
      <c r="C340" s="79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32"/>
      <c r="S340" s="32"/>
      <c r="T340" s="32"/>
      <c r="U340" s="32"/>
      <c r="V340" s="32"/>
      <c r="W340" s="32"/>
      <c r="X340" s="32"/>
    </row>
    <row r="341">
      <c r="A341" s="67"/>
      <c r="B341" s="81"/>
      <c r="C341" s="79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32"/>
      <c r="S341" s="32"/>
      <c r="T341" s="32"/>
      <c r="U341" s="32"/>
      <c r="V341" s="32"/>
      <c r="W341" s="32"/>
      <c r="X341" s="32"/>
    </row>
    <row r="342">
      <c r="A342" s="67"/>
      <c r="B342" s="81"/>
      <c r="C342" s="79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32"/>
      <c r="S342" s="32"/>
      <c r="T342" s="32"/>
      <c r="U342" s="32"/>
      <c r="V342" s="32"/>
      <c r="W342" s="32"/>
      <c r="X342" s="32"/>
    </row>
    <row r="343">
      <c r="A343" s="67"/>
      <c r="B343" s="81"/>
      <c r="C343" s="79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32"/>
      <c r="S343" s="32"/>
      <c r="T343" s="32"/>
      <c r="U343" s="32"/>
      <c r="V343" s="32"/>
      <c r="W343" s="32"/>
      <c r="X343" s="32"/>
    </row>
    <row r="344">
      <c r="A344" s="67"/>
      <c r="B344" s="81"/>
      <c r="C344" s="79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32"/>
      <c r="S344" s="32"/>
      <c r="T344" s="32"/>
      <c r="U344" s="32"/>
      <c r="V344" s="32"/>
      <c r="W344" s="32"/>
      <c r="X344" s="32"/>
    </row>
    <row r="345">
      <c r="A345" s="67"/>
      <c r="B345" s="81"/>
      <c r="C345" s="79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32"/>
      <c r="S345" s="32"/>
      <c r="T345" s="32"/>
      <c r="U345" s="32"/>
      <c r="V345" s="32"/>
      <c r="W345" s="32"/>
      <c r="X345" s="32"/>
    </row>
    <row r="346">
      <c r="A346" s="67"/>
      <c r="B346" s="81"/>
      <c r="C346" s="79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32"/>
      <c r="S346" s="32"/>
      <c r="T346" s="32"/>
      <c r="U346" s="32"/>
      <c r="V346" s="32"/>
      <c r="W346" s="32"/>
      <c r="X346" s="32"/>
    </row>
    <row r="347">
      <c r="A347" s="67"/>
      <c r="B347" s="81"/>
      <c r="C347" s="79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32"/>
      <c r="S347" s="32"/>
      <c r="T347" s="32"/>
      <c r="U347" s="32"/>
      <c r="V347" s="32"/>
      <c r="W347" s="32"/>
      <c r="X347" s="32"/>
    </row>
    <row r="348">
      <c r="A348" s="67"/>
      <c r="B348" s="81"/>
      <c r="C348" s="79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32"/>
      <c r="S348" s="32"/>
      <c r="T348" s="32"/>
      <c r="U348" s="32"/>
      <c r="V348" s="32"/>
      <c r="W348" s="32"/>
      <c r="X348" s="32"/>
    </row>
    <row r="349">
      <c r="A349" s="67"/>
      <c r="B349" s="81"/>
      <c r="C349" s="79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32"/>
      <c r="S349" s="32"/>
      <c r="T349" s="32"/>
      <c r="U349" s="32"/>
      <c r="V349" s="32"/>
      <c r="W349" s="32"/>
      <c r="X349" s="32"/>
    </row>
    <row r="350">
      <c r="A350" s="67"/>
      <c r="B350" s="81"/>
      <c r="C350" s="79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32"/>
      <c r="S350" s="32"/>
      <c r="T350" s="32"/>
      <c r="U350" s="32"/>
      <c r="V350" s="32"/>
      <c r="W350" s="32"/>
      <c r="X350" s="32"/>
    </row>
    <row r="351">
      <c r="A351" s="67"/>
      <c r="B351" s="81"/>
      <c r="C351" s="79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32"/>
      <c r="S351" s="32"/>
      <c r="T351" s="32"/>
      <c r="U351" s="32"/>
      <c r="V351" s="32"/>
      <c r="W351" s="32"/>
      <c r="X351" s="32"/>
    </row>
    <row r="352">
      <c r="A352" s="67"/>
      <c r="B352" s="81"/>
      <c r="C352" s="79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32"/>
      <c r="S352" s="32"/>
      <c r="T352" s="32"/>
      <c r="U352" s="32"/>
      <c r="V352" s="32"/>
      <c r="W352" s="32"/>
      <c r="X352" s="32"/>
    </row>
    <row r="353">
      <c r="A353" s="67"/>
      <c r="B353" s="81"/>
      <c r="C353" s="79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32"/>
      <c r="S353" s="32"/>
      <c r="T353" s="32"/>
      <c r="U353" s="32"/>
      <c r="V353" s="32"/>
      <c r="W353" s="32"/>
      <c r="X353" s="32"/>
    </row>
    <row r="354">
      <c r="A354" s="67"/>
      <c r="B354" s="81"/>
      <c r="C354" s="79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32"/>
      <c r="S354" s="32"/>
      <c r="T354" s="32"/>
      <c r="U354" s="32"/>
      <c r="V354" s="32"/>
      <c r="W354" s="32"/>
      <c r="X354" s="32"/>
    </row>
    <row r="355">
      <c r="A355" s="67"/>
      <c r="B355" s="81"/>
      <c r="C355" s="79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32"/>
      <c r="S355" s="32"/>
      <c r="T355" s="32"/>
      <c r="U355" s="32"/>
      <c r="V355" s="32"/>
      <c r="W355" s="32"/>
      <c r="X355" s="32"/>
    </row>
    <row r="356">
      <c r="A356" s="67"/>
      <c r="B356" s="81"/>
      <c r="C356" s="79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32"/>
      <c r="S356" s="32"/>
      <c r="T356" s="32"/>
      <c r="U356" s="32"/>
      <c r="V356" s="32"/>
      <c r="W356" s="32"/>
      <c r="X356" s="32"/>
    </row>
    <row r="357">
      <c r="A357" s="67"/>
      <c r="B357" s="81"/>
      <c r="C357" s="79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32"/>
      <c r="S357" s="32"/>
      <c r="T357" s="32"/>
      <c r="U357" s="32"/>
      <c r="V357" s="32"/>
      <c r="W357" s="32"/>
      <c r="X357" s="32"/>
    </row>
    <row r="358">
      <c r="A358" s="67"/>
      <c r="B358" s="81"/>
      <c r="C358" s="79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32"/>
      <c r="S358" s="32"/>
      <c r="T358" s="32"/>
      <c r="U358" s="32"/>
      <c r="V358" s="32"/>
      <c r="W358" s="32"/>
      <c r="X358" s="32"/>
    </row>
    <row r="359">
      <c r="A359" s="67"/>
      <c r="B359" s="81"/>
      <c r="C359" s="79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32"/>
      <c r="S359" s="32"/>
      <c r="T359" s="32"/>
      <c r="U359" s="32"/>
      <c r="V359" s="32"/>
      <c r="W359" s="32"/>
      <c r="X359" s="32"/>
    </row>
    <row r="360">
      <c r="A360" s="67"/>
      <c r="B360" s="81"/>
      <c r="C360" s="79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32"/>
      <c r="S360" s="32"/>
      <c r="T360" s="32"/>
      <c r="U360" s="32"/>
      <c r="V360" s="32"/>
      <c r="W360" s="32"/>
      <c r="X360" s="32"/>
    </row>
    <row r="361">
      <c r="A361" s="67"/>
      <c r="B361" s="81"/>
      <c r="C361" s="79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32"/>
      <c r="S361" s="32"/>
      <c r="T361" s="32"/>
      <c r="U361" s="32"/>
      <c r="V361" s="32"/>
      <c r="W361" s="32"/>
      <c r="X361" s="32"/>
    </row>
    <row r="362">
      <c r="A362" s="67"/>
      <c r="B362" s="81"/>
      <c r="C362" s="79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32"/>
      <c r="S362" s="32"/>
      <c r="T362" s="32"/>
      <c r="U362" s="32"/>
      <c r="V362" s="32"/>
      <c r="W362" s="32"/>
      <c r="X362" s="32"/>
    </row>
    <row r="363">
      <c r="A363" s="67"/>
      <c r="B363" s="81"/>
      <c r="C363" s="79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32"/>
      <c r="S363" s="32"/>
      <c r="T363" s="32"/>
      <c r="U363" s="32"/>
      <c r="V363" s="32"/>
      <c r="W363" s="32"/>
      <c r="X363" s="32"/>
    </row>
    <row r="364">
      <c r="A364" s="67"/>
      <c r="B364" s="81"/>
      <c r="C364" s="79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32"/>
      <c r="S364" s="32"/>
      <c r="T364" s="32"/>
      <c r="U364" s="32"/>
      <c r="V364" s="32"/>
      <c r="W364" s="32"/>
      <c r="X364" s="32"/>
    </row>
    <row r="365">
      <c r="A365" s="67"/>
      <c r="B365" s="81"/>
      <c r="C365" s="79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32"/>
      <c r="S365" s="32"/>
      <c r="T365" s="32"/>
      <c r="U365" s="32"/>
      <c r="V365" s="32"/>
      <c r="W365" s="32"/>
      <c r="X365" s="32"/>
    </row>
    <row r="366">
      <c r="A366" s="67"/>
      <c r="B366" s="81"/>
      <c r="C366" s="79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32"/>
      <c r="S366" s="32"/>
      <c r="T366" s="32"/>
      <c r="U366" s="32"/>
      <c r="V366" s="32"/>
      <c r="W366" s="32"/>
      <c r="X366" s="32"/>
    </row>
    <row r="367">
      <c r="A367" s="67"/>
      <c r="B367" s="81"/>
      <c r="C367" s="79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32"/>
      <c r="S367" s="32"/>
      <c r="T367" s="32"/>
      <c r="U367" s="32"/>
      <c r="V367" s="32"/>
      <c r="W367" s="32"/>
      <c r="X367" s="32"/>
    </row>
    <row r="368">
      <c r="A368" s="67"/>
      <c r="B368" s="81"/>
      <c r="C368" s="79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32"/>
      <c r="S368" s="32"/>
      <c r="T368" s="32"/>
      <c r="U368" s="32"/>
      <c r="V368" s="32"/>
      <c r="W368" s="32"/>
      <c r="X368" s="32"/>
    </row>
    <row r="369">
      <c r="A369" s="67"/>
      <c r="B369" s="81"/>
      <c r="C369" s="79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32"/>
      <c r="S369" s="32"/>
      <c r="T369" s="32"/>
      <c r="U369" s="32"/>
      <c r="V369" s="32"/>
      <c r="W369" s="32"/>
      <c r="X369" s="32"/>
    </row>
    <row r="370">
      <c r="A370" s="67"/>
      <c r="B370" s="81"/>
      <c r="C370" s="79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32"/>
      <c r="S370" s="32"/>
      <c r="T370" s="32"/>
      <c r="U370" s="32"/>
      <c r="V370" s="32"/>
      <c r="W370" s="32"/>
      <c r="X370" s="32"/>
    </row>
    <row r="371">
      <c r="A371" s="67"/>
      <c r="B371" s="81"/>
      <c r="C371" s="79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32"/>
      <c r="S371" s="32"/>
      <c r="T371" s="32"/>
      <c r="U371" s="32"/>
      <c r="V371" s="32"/>
      <c r="W371" s="32"/>
      <c r="X371" s="32"/>
    </row>
    <row r="372">
      <c r="A372" s="67"/>
      <c r="B372" s="81"/>
      <c r="C372" s="79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32"/>
      <c r="S372" s="32"/>
      <c r="T372" s="32"/>
      <c r="U372" s="32"/>
      <c r="V372" s="32"/>
      <c r="W372" s="32"/>
      <c r="X372" s="32"/>
    </row>
    <row r="373">
      <c r="A373" s="67"/>
      <c r="B373" s="81"/>
      <c r="C373" s="79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32"/>
      <c r="S373" s="32"/>
      <c r="T373" s="32"/>
      <c r="U373" s="32"/>
      <c r="V373" s="32"/>
      <c r="W373" s="32"/>
      <c r="X373" s="32"/>
    </row>
    <row r="374">
      <c r="A374" s="67"/>
      <c r="B374" s="81"/>
      <c r="C374" s="79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32"/>
      <c r="S374" s="32"/>
      <c r="T374" s="32"/>
      <c r="U374" s="32"/>
      <c r="V374" s="32"/>
      <c r="W374" s="32"/>
      <c r="X374" s="32"/>
    </row>
    <row r="375">
      <c r="A375" s="67"/>
      <c r="B375" s="81"/>
      <c r="C375" s="79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32"/>
      <c r="S375" s="32"/>
      <c r="T375" s="32"/>
      <c r="U375" s="32"/>
      <c r="V375" s="32"/>
      <c r="W375" s="32"/>
      <c r="X375" s="32"/>
    </row>
    <row r="376">
      <c r="A376" s="67"/>
      <c r="B376" s="81"/>
      <c r="C376" s="79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32"/>
      <c r="S376" s="32"/>
      <c r="T376" s="32"/>
      <c r="U376" s="32"/>
      <c r="V376" s="32"/>
      <c r="W376" s="32"/>
      <c r="X376" s="32"/>
    </row>
    <row r="377">
      <c r="A377" s="67"/>
      <c r="B377" s="81"/>
      <c r="C377" s="79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32"/>
      <c r="S377" s="32"/>
      <c r="T377" s="32"/>
      <c r="U377" s="32"/>
      <c r="V377" s="32"/>
      <c r="W377" s="32"/>
      <c r="X377" s="32"/>
    </row>
    <row r="378">
      <c r="A378" s="67"/>
      <c r="B378" s="81"/>
      <c r="C378" s="79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32"/>
      <c r="S378" s="32"/>
      <c r="T378" s="32"/>
      <c r="U378" s="32"/>
      <c r="V378" s="32"/>
      <c r="W378" s="32"/>
      <c r="X378" s="32"/>
    </row>
    <row r="379">
      <c r="A379" s="67"/>
      <c r="B379" s="81"/>
      <c r="C379" s="79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32"/>
      <c r="S379" s="32"/>
      <c r="T379" s="32"/>
      <c r="U379" s="32"/>
      <c r="V379" s="32"/>
      <c r="W379" s="32"/>
      <c r="X379" s="32"/>
    </row>
    <row r="380">
      <c r="A380" s="67"/>
      <c r="B380" s="81"/>
      <c r="C380" s="79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32"/>
      <c r="S380" s="32"/>
      <c r="T380" s="32"/>
      <c r="U380" s="32"/>
      <c r="V380" s="32"/>
      <c r="W380" s="32"/>
      <c r="X380" s="32"/>
    </row>
    <row r="381">
      <c r="A381" s="67"/>
      <c r="B381" s="81"/>
      <c r="C381" s="79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32"/>
      <c r="S381" s="32"/>
      <c r="T381" s="32"/>
      <c r="U381" s="32"/>
      <c r="V381" s="32"/>
      <c r="W381" s="32"/>
      <c r="X381" s="32"/>
    </row>
    <row r="382">
      <c r="A382" s="67"/>
      <c r="B382" s="81"/>
      <c r="C382" s="79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32"/>
      <c r="S382" s="32"/>
      <c r="T382" s="32"/>
      <c r="U382" s="32"/>
      <c r="V382" s="32"/>
      <c r="W382" s="32"/>
      <c r="X382" s="32"/>
    </row>
    <row r="383">
      <c r="A383" s="67"/>
      <c r="B383" s="81"/>
      <c r="C383" s="79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32"/>
      <c r="S383" s="32"/>
      <c r="T383" s="32"/>
      <c r="U383" s="32"/>
      <c r="V383" s="32"/>
      <c r="W383" s="32"/>
      <c r="X383" s="32"/>
    </row>
    <row r="384">
      <c r="A384" s="67"/>
      <c r="B384" s="81"/>
      <c r="C384" s="79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32"/>
      <c r="S384" s="32"/>
      <c r="T384" s="32"/>
      <c r="U384" s="32"/>
      <c r="V384" s="32"/>
      <c r="W384" s="32"/>
      <c r="X384" s="32"/>
    </row>
    <row r="385">
      <c r="A385" s="67"/>
      <c r="B385" s="81"/>
      <c r="C385" s="79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32"/>
      <c r="S385" s="32"/>
      <c r="T385" s="32"/>
      <c r="U385" s="32"/>
      <c r="V385" s="32"/>
      <c r="W385" s="32"/>
      <c r="X385" s="32"/>
    </row>
    <row r="386">
      <c r="A386" s="67"/>
      <c r="B386" s="81"/>
      <c r="C386" s="79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32"/>
      <c r="S386" s="32"/>
      <c r="T386" s="32"/>
      <c r="U386" s="32"/>
      <c r="V386" s="32"/>
      <c r="W386" s="32"/>
      <c r="X386" s="32"/>
    </row>
    <row r="387">
      <c r="A387" s="67"/>
      <c r="B387" s="81"/>
      <c r="C387" s="79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32"/>
      <c r="S387" s="32"/>
      <c r="T387" s="32"/>
      <c r="U387" s="32"/>
      <c r="V387" s="32"/>
      <c r="W387" s="32"/>
      <c r="X387" s="32"/>
    </row>
    <row r="388">
      <c r="A388" s="67"/>
      <c r="B388" s="81"/>
      <c r="C388" s="79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32"/>
      <c r="S388" s="32"/>
      <c r="T388" s="32"/>
      <c r="U388" s="32"/>
      <c r="V388" s="32"/>
      <c r="W388" s="32"/>
      <c r="X388" s="32"/>
    </row>
    <row r="389">
      <c r="A389" s="67"/>
      <c r="B389" s="81"/>
      <c r="C389" s="79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32"/>
      <c r="S389" s="32"/>
      <c r="T389" s="32"/>
      <c r="U389" s="32"/>
      <c r="V389" s="32"/>
      <c r="W389" s="32"/>
      <c r="X389" s="32"/>
    </row>
    <row r="390">
      <c r="A390" s="67"/>
      <c r="B390" s="81"/>
      <c r="C390" s="79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32"/>
      <c r="S390" s="32"/>
      <c r="T390" s="32"/>
      <c r="U390" s="32"/>
      <c r="V390" s="32"/>
      <c r="W390" s="32"/>
      <c r="X390" s="32"/>
    </row>
    <row r="391">
      <c r="A391" s="67"/>
      <c r="B391" s="81"/>
      <c r="C391" s="79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32"/>
      <c r="S391" s="32"/>
      <c r="T391" s="32"/>
      <c r="U391" s="32"/>
      <c r="V391" s="32"/>
      <c r="W391" s="32"/>
      <c r="X391" s="32"/>
    </row>
    <row r="392">
      <c r="A392" s="67"/>
      <c r="B392" s="81"/>
      <c r="C392" s="79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32"/>
      <c r="S392" s="32"/>
      <c r="T392" s="32"/>
      <c r="U392" s="32"/>
      <c r="V392" s="32"/>
      <c r="W392" s="32"/>
      <c r="X392" s="32"/>
    </row>
    <row r="393">
      <c r="A393" s="67"/>
      <c r="B393" s="81"/>
      <c r="C393" s="79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32"/>
      <c r="S393" s="32"/>
      <c r="T393" s="32"/>
      <c r="U393" s="32"/>
      <c r="V393" s="32"/>
      <c r="W393" s="32"/>
      <c r="X393" s="32"/>
    </row>
    <row r="394">
      <c r="A394" s="67"/>
      <c r="B394" s="81"/>
      <c r="C394" s="79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32"/>
      <c r="S394" s="32"/>
      <c r="T394" s="32"/>
      <c r="U394" s="32"/>
      <c r="V394" s="32"/>
      <c r="W394" s="32"/>
      <c r="X394" s="32"/>
    </row>
    <row r="395">
      <c r="A395" s="67"/>
      <c r="B395" s="81"/>
      <c r="C395" s="79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32"/>
      <c r="S395" s="32"/>
      <c r="T395" s="32"/>
      <c r="U395" s="32"/>
      <c r="V395" s="32"/>
      <c r="W395" s="32"/>
      <c r="X395" s="32"/>
    </row>
    <row r="396">
      <c r="A396" s="67"/>
      <c r="B396" s="81"/>
      <c r="C396" s="79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32"/>
      <c r="S396" s="32"/>
      <c r="T396" s="32"/>
      <c r="U396" s="32"/>
      <c r="V396" s="32"/>
      <c r="W396" s="32"/>
      <c r="X396" s="32"/>
    </row>
    <row r="397">
      <c r="A397" s="67"/>
      <c r="B397" s="81"/>
      <c r="C397" s="79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32"/>
      <c r="S397" s="32"/>
      <c r="T397" s="32"/>
      <c r="U397" s="32"/>
      <c r="V397" s="32"/>
      <c r="W397" s="32"/>
      <c r="X397" s="32"/>
    </row>
    <row r="398">
      <c r="A398" s="67"/>
      <c r="B398" s="81"/>
      <c r="C398" s="79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32"/>
      <c r="S398" s="32"/>
      <c r="T398" s="32"/>
      <c r="U398" s="32"/>
      <c r="V398" s="32"/>
      <c r="W398" s="32"/>
      <c r="X398" s="32"/>
    </row>
    <row r="399">
      <c r="A399" s="67"/>
      <c r="B399" s="81"/>
      <c r="C399" s="79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32"/>
      <c r="S399" s="32"/>
      <c r="T399" s="32"/>
      <c r="U399" s="32"/>
      <c r="V399" s="32"/>
      <c r="W399" s="32"/>
      <c r="X399" s="32"/>
    </row>
    <row r="400">
      <c r="A400" s="67"/>
      <c r="B400" s="81"/>
      <c r="C400" s="79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32"/>
      <c r="S400" s="32"/>
      <c r="T400" s="32"/>
      <c r="U400" s="32"/>
      <c r="V400" s="32"/>
      <c r="W400" s="32"/>
      <c r="X400" s="32"/>
    </row>
    <row r="401">
      <c r="A401" s="67"/>
      <c r="B401" s="81"/>
      <c r="C401" s="79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32"/>
      <c r="S401" s="32"/>
      <c r="T401" s="32"/>
      <c r="U401" s="32"/>
      <c r="V401" s="32"/>
      <c r="W401" s="32"/>
      <c r="X401" s="32"/>
    </row>
    <row r="402">
      <c r="A402" s="67"/>
      <c r="B402" s="81"/>
      <c r="C402" s="79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32"/>
      <c r="S402" s="32"/>
      <c r="T402" s="32"/>
      <c r="U402" s="32"/>
      <c r="V402" s="32"/>
      <c r="W402" s="32"/>
      <c r="X402" s="32"/>
    </row>
    <row r="403">
      <c r="A403" s="67"/>
      <c r="B403" s="81"/>
      <c r="C403" s="79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32"/>
      <c r="S403" s="32"/>
      <c r="T403" s="32"/>
      <c r="U403" s="32"/>
      <c r="V403" s="32"/>
      <c r="W403" s="32"/>
      <c r="X403" s="32"/>
    </row>
    <row r="404">
      <c r="A404" s="67"/>
      <c r="B404" s="81"/>
      <c r="C404" s="79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32"/>
      <c r="S404" s="32"/>
      <c r="T404" s="32"/>
      <c r="U404" s="32"/>
      <c r="V404" s="32"/>
      <c r="W404" s="32"/>
      <c r="X404" s="32"/>
    </row>
    <row r="405">
      <c r="A405" s="67"/>
      <c r="B405" s="81"/>
      <c r="C405" s="79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32"/>
      <c r="S405" s="32"/>
      <c r="T405" s="32"/>
      <c r="U405" s="32"/>
      <c r="V405" s="32"/>
      <c r="W405" s="32"/>
      <c r="X405" s="32"/>
    </row>
    <row r="406">
      <c r="A406" s="67"/>
      <c r="B406" s="81"/>
      <c r="C406" s="79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32"/>
      <c r="S406" s="32"/>
      <c r="T406" s="32"/>
      <c r="U406" s="32"/>
      <c r="V406" s="32"/>
      <c r="W406" s="32"/>
      <c r="X406" s="32"/>
    </row>
    <row r="407">
      <c r="A407" s="67"/>
      <c r="B407" s="81"/>
      <c r="C407" s="79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32"/>
      <c r="S407" s="32"/>
      <c r="T407" s="32"/>
      <c r="U407" s="32"/>
      <c r="V407" s="32"/>
      <c r="W407" s="32"/>
      <c r="X407" s="32"/>
    </row>
    <row r="408">
      <c r="A408" s="67"/>
      <c r="B408" s="81"/>
      <c r="C408" s="79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32"/>
      <c r="S408" s="32"/>
      <c r="T408" s="32"/>
      <c r="U408" s="32"/>
      <c r="V408" s="32"/>
      <c r="W408" s="32"/>
      <c r="X408" s="32"/>
    </row>
    <row r="409">
      <c r="A409" s="67"/>
      <c r="B409" s="81"/>
      <c r="C409" s="79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32"/>
      <c r="S409" s="32"/>
      <c r="T409" s="32"/>
      <c r="U409" s="32"/>
      <c r="V409" s="32"/>
      <c r="W409" s="32"/>
      <c r="X409" s="32"/>
    </row>
    <row r="410">
      <c r="A410" s="67"/>
      <c r="B410" s="81"/>
      <c r="C410" s="79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32"/>
      <c r="S410" s="32"/>
      <c r="T410" s="32"/>
      <c r="U410" s="32"/>
      <c r="V410" s="32"/>
      <c r="W410" s="32"/>
      <c r="X410" s="32"/>
    </row>
    <row r="411">
      <c r="A411" s="67"/>
      <c r="B411" s="81"/>
      <c r="C411" s="79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32"/>
      <c r="S411" s="32"/>
      <c r="T411" s="32"/>
      <c r="U411" s="32"/>
      <c r="V411" s="32"/>
      <c r="W411" s="32"/>
      <c r="X411" s="32"/>
    </row>
    <row r="412">
      <c r="A412" s="67"/>
      <c r="B412" s="81"/>
      <c r="C412" s="79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32"/>
      <c r="S412" s="32"/>
      <c r="T412" s="32"/>
      <c r="U412" s="32"/>
      <c r="V412" s="32"/>
      <c r="W412" s="32"/>
      <c r="X412" s="32"/>
    </row>
    <row r="413">
      <c r="A413" s="67"/>
      <c r="B413" s="81"/>
      <c r="C413" s="79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32"/>
      <c r="S413" s="32"/>
      <c r="T413" s="32"/>
      <c r="U413" s="32"/>
      <c r="V413" s="32"/>
      <c r="W413" s="32"/>
      <c r="X413" s="32"/>
    </row>
    <row r="414">
      <c r="A414" s="67"/>
      <c r="B414" s="81"/>
      <c r="C414" s="79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32"/>
      <c r="S414" s="32"/>
      <c r="T414" s="32"/>
      <c r="U414" s="32"/>
      <c r="V414" s="32"/>
      <c r="W414" s="32"/>
      <c r="X414" s="32"/>
    </row>
    <row r="415">
      <c r="A415" s="67"/>
      <c r="B415" s="81"/>
      <c r="C415" s="79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32"/>
      <c r="S415" s="32"/>
      <c r="T415" s="32"/>
      <c r="U415" s="32"/>
      <c r="V415" s="32"/>
      <c r="W415" s="32"/>
      <c r="X415" s="32"/>
    </row>
    <row r="416">
      <c r="A416" s="67"/>
      <c r="B416" s="81"/>
      <c r="C416" s="79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32"/>
      <c r="S416" s="32"/>
      <c r="T416" s="32"/>
      <c r="U416" s="32"/>
      <c r="V416" s="32"/>
      <c r="W416" s="32"/>
      <c r="X416" s="32"/>
    </row>
    <row r="417">
      <c r="A417" s="67"/>
      <c r="B417" s="81"/>
      <c r="C417" s="79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32"/>
      <c r="S417" s="32"/>
      <c r="T417" s="32"/>
      <c r="U417" s="32"/>
      <c r="V417" s="32"/>
      <c r="W417" s="32"/>
      <c r="X417" s="32"/>
    </row>
    <row r="418">
      <c r="A418" s="67"/>
      <c r="B418" s="81"/>
      <c r="C418" s="79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32"/>
      <c r="S418" s="32"/>
      <c r="T418" s="32"/>
      <c r="U418" s="32"/>
      <c r="V418" s="32"/>
      <c r="W418" s="32"/>
      <c r="X418" s="32"/>
    </row>
    <row r="419">
      <c r="A419" s="67"/>
      <c r="B419" s="81"/>
      <c r="C419" s="79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32"/>
      <c r="S419" s="32"/>
      <c r="T419" s="32"/>
      <c r="U419" s="32"/>
      <c r="V419" s="32"/>
      <c r="W419" s="32"/>
      <c r="X419" s="32"/>
    </row>
    <row r="420">
      <c r="A420" s="67"/>
      <c r="B420" s="81"/>
      <c r="C420" s="79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32"/>
      <c r="S420" s="32"/>
      <c r="T420" s="32"/>
      <c r="U420" s="32"/>
      <c r="V420" s="32"/>
      <c r="W420" s="32"/>
      <c r="X420" s="32"/>
    </row>
    <row r="421">
      <c r="A421" s="67"/>
      <c r="B421" s="81"/>
      <c r="C421" s="79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32"/>
      <c r="S421" s="32"/>
      <c r="T421" s="32"/>
      <c r="U421" s="32"/>
      <c r="V421" s="32"/>
      <c r="W421" s="32"/>
      <c r="X421" s="32"/>
    </row>
    <row r="422">
      <c r="A422" s="67"/>
      <c r="B422" s="81"/>
      <c r="C422" s="79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32"/>
      <c r="S422" s="32"/>
      <c r="T422" s="32"/>
      <c r="U422" s="32"/>
      <c r="V422" s="32"/>
      <c r="W422" s="32"/>
      <c r="X422" s="32"/>
    </row>
    <row r="423">
      <c r="A423" s="67"/>
      <c r="B423" s="81"/>
      <c r="C423" s="79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32"/>
      <c r="S423" s="32"/>
      <c r="T423" s="32"/>
      <c r="U423" s="32"/>
      <c r="V423" s="32"/>
      <c r="W423" s="32"/>
      <c r="X423" s="32"/>
    </row>
    <row r="424">
      <c r="A424" s="67"/>
      <c r="B424" s="81"/>
      <c r="C424" s="79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32"/>
      <c r="S424" s="32"/>
      <c r="T424" s="32"/>
      <c r="U424" s="32"/>
      <c r="V424" s="32"/>
      <c r="W424" s="32"/>
      <c r="X424" s="32"/>
    </row>
    <row r="425">
      <c r="A425" s="67"/>
      <c r="B425" s="81"/>
      <c r="C425" s="79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32"/>
      <c r="S425" s="32"/>
      <c r="T425" s="32"/>
      <c r="U425" s="32"/>
      <c r="V425" s="32"/>
      <c r="W425" s="32"/>
      <c r="X425" s="32"/>
    </row>
    <row r="426">
      <c r="A426" s="67"/>
      <c r="B426" s="81"/>
      <c r="C426" s="79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32"/>
      <c r="S426" s="32"/>
      <c r="T426" s="32"/>
      <c r="U426" s="32"/>
      <c r="V426" s="32"/>
      <c r="W426" s="32"/>
      <c r="X426" s="32"/>
    </row>
    <row r="427">
      <c r="A427" s="67"/>
      <c r="B427" s="81"/>
      <c r="C427" s="79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32"/>
      <c r="S427" s="32"/>
      <c r="T427" s="32"/>
      <c r="U427" s="32"/>
      <c r="V427" s="32"/>
      <c r="W427" s="32"/>
      <c r="X427" s="32"/>
    </row>
    <row r="428">
      <c r="A428" s="67"/>
      <c r="B428" s="81"/>
      <c r="C428" s="79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32"/>
      <c r="S428" s="32"/>
      <c r="T428" s="32"/>
      <c r="U428" s="32"/>
      <c r="V428" s="32"/>
      <c r="W428" s="32"/>
      <c r="X428" s="32"/>
    </row>
    <row r="429">
      <c r="A429" s="67"/>
      <c r="B429" s="81"/>
      <c r="C429" s="79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32"/>
      <c r="S429" s="32"/>
      <c r="T429" s="32"/>
      <c r="U429" s="32"/>
      <c r="V429" s="32"/>
      <c r="W429" s="32"/>
      <c r="X429" s="32"/>
    </row>
    <row r="430">
      <c r="A430" s="67"/>
      <c r="B430" s="81"/>
      <c r="C430" s="79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32"/>
      <c r="S430" s="32"/>
      <c r="T430" s="32"/>
      <c r="U430" s="32"/>
      <c r="V430" s="32"/>
      <c r="W430" s="32"/>
      <c r="X430" s="32"/>
    </row>
    <row r="431">
      <c r="A431" s="67"/>
      <c r="B431" s="81"/>
      <c r="C431" s="79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32"/>
      <c r="S431" s="32"/>
      <c r="T431" s="32"/>
      <c r="U431" s="32"/>
      <c r="V431" s="32"/>
      <c r="W431" s="32"/>
      <c r="X431" s="32"/>
    </row>
    <row r="432">
      <c r="A432" s="67"/>
      <c r="B432" s="81"/>
      <c r="C432" s="79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32"/>
      <c r="S432" s="32"/>
      <c r="T432" s="32"/>
      <c r="U432" s="32"/>
      <c r="V432" s="32"/>
      <c r="W432" s="32"/>
      <c r="X432" s="32"/>
    </row>
    <row r="433">
      <c r="A433" s="67"/>
      <c r="B433" s="81"/>
      <c r="C433" s="79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32"/>
      <c r="S433" s="32"/>
      <c r="T433" s="32"/>
      <c r="U433" s="32"/>
      <c r="V433" s="32"/>
      <c r="W433" s="32"/>
      <c r="X433" s="32"/>
    </row>
    <row r="434">
      <c r="A434" s="67"/>
      <c r="B434" s="81"/>
      <c r="C434" s="79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32"/>
      <c r="S434" s="32"/>
      <c r="T434" s="32"/>
      <c r="U434" s="32"/>
      <c r="V434" s="32"/>
      <c r="W434" s="32"/>
      <c r="X434" s="32"/>
    </row>
    <row r="435">
      <c r="A435" s="67"/>
      <c r="B435" s="81"/>
      <c r="C435" s="79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32"/>
      <c r="S435" s="32"/>
      <c r="T435" s="32"/>
      <c r="U435" s="32"/>
      <c r="V435" s="32"/>
      <c r="W435" s="32"/>
      <c r="X435" s="32"/>
    </row>
    <row r="436">
      <c r="A436" s="67"/>
      <c r="B436" s="81"/>
      <c r="C436" s="79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32"/>
      <c r="S436" s="32"/>
      <c r="T436" s="32"/>
      <c r="U436" s="32"/>
      <c r="V436" s="32"/>
      <c r="W436" s="32"/>
      <c r="X436" s="32"/>
    </row>
    <row r="437">
      <c r="A437" s="67"/>
      <c r="B437" s="81"/>
      <c r="C437" s="79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32"/>
      <c r="S437" s="32"/>
      <c r="T437" s="32"/>
      <c r="U437" s="32"/>
      <c r="V437" s="32"/>
      <c r="W437" s="32"/>
      <c r="X437" s="32"/>
    </row>
    <row r="438">
      <c r="A438" s="67"/>
      <c r="B438" s="81"/>
      <c r="C438" s="79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32"/>
      <c r="S438" s="32"/>
      <c r="T438" s="32"/>
      <c r="U438" s="32"/>
      <c r="V438" s="32"/>
      <c r="W438" s="32"/>
      <c r="X438" s="32"/>
    </row>
    <row r="439">
      <c r="A439" s="67"/>
      <c r="B439" s="81"/>
      <c r="C439" s="79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32"/>
      <c r="S439" s="32"/>
      <c r="T439" s="32"/>
      <c r="U439" s="32"/>
      <c r="V439" s="32"/>
      <c r="W439" s="32"/>
      <c r="X439" s="32"/>
    </row>
    <row r="440">
      <c r="A440" s="67"/>
      <c r="B440" s="81"/>
      <c r="C440" s="79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32"/>
      <c r="S440" s="32"/>
      <c r="T440" s="32"/>
      <c r="U440" s="32"/>
      <c r="V440" s="32"/>
      <c r="W440" s="32"/>
      <c r="X440" s="32"/>
    </row>
    <row r="441">
      <c r="A441" s="67"/>
      <c r="B441" s="81"/>
      <c r="C441" s="79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32"/>
      <c r="S441" s="32"/>
      <c r="T441" s="32"/>
      <c r="U441" s="32"/>
      <c r="V441" s="32"/>
      <c r="W441" s="32"/>
      <c r="X441" s="32"/>
    </row>
    <row r="442">
      <c r="A442" s="67"/>
      <c r="B442" s="81"/>
      <c r="C442" s="79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32"/>
      <c r="S442" s="32"/>
      <c r="T442" s="32"/>
      <c r="U442" s="32"/>
      <c r="V442" s="32"/>
      <c r="W442" s="32"/>
      <c r="X442" s="32"/>
    </row>
    <row r="443">
      <c r="A443" s="67"/>
      <c r="B443" s="81"/>
      <c r="C443" s="79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32"/>
      <c r="S443" s="32"/>
      <c r="T443" s="32"/>
      <c r="U443" s="32"/>
      <c r="V443" s="32"/>
      <c r="W443" s="32"/>
      <c r="X443" s="32"/>
    </row>
    <row r="444">
      <c r="A444" s="67"/>
      <c r="B444" s="81"/>
      <c r="C444" s="79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32"/>
      <c r="S444" s="32"/>
      <c r="T444" s="32"/>
      <c r="U444" s="32"/>
      <c r="V444" s="32"/>
      <c r="W444" s="32"/>
      <c r="X444" s="32"/>
    </row>
    <row r="445">
      <c r="A445" s="67"/>
      <c r="B445" s="81"/>
      <c r="C445" s="79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32"/>
      <c r="S445" s="32"/>
      <c r="T445" s="32"/>
      <c r="U445" s="32"/>
      <c r="V445" s="32"/>
      <c r="W445" s="32"/>
      <c r="X445" s="32"/>
    </row>
    <row r="446">
      <c r="A446" s="67"/>
      <c r="B446" s="81"/>
      <c r="C446" s="79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32"/>
      <c r="S446" s="32"/>
      <c r="T446" s="32"/>
      <c r="U446" s="32"/>
      <c r="V446" s="32"/>
      <c r="W446" s="32"/>
      <c r="X446" s="32"/>
    </row>
    <row r="447">
      <c r="A447" s="67"/>
      <c r="B447" s="81"/>
      <c r="C447" s="79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32"/>
      <c r="S447" s="32"/>
      <c r="T447" s="32"/>
      <c r="U447" s="32"/>
      <c r="V447" s="32"/>
      <c r="W447" s="32"/>
      <c r="X447" s="32"/>
    </row>
    <row r="448">
      <c r="A448" s="67"/>
      <c r="B448" s="81"/>
      <c r="C448" s="79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32"/>
      <c r="S448" s="32"/>
      <c r="T448" s="32"/>
      <c r="U448" s="32"/>
      <c r="V448" s="32"/>
      <c r="W448" s="32"/>
      <c r="X448" s="32"/>
    </row>
    <row r="449">
      <c r="A449" s="67"/>
      <c r="B449" s="81"/>
      <c r="C449" s="79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32"/>
      <c r="S449" s="32"/>
      <c r="T449" s="32"/>
      <c r="U449" s="32"/>
      <c r="V449" s="32"/>
      <c r="W449" s="32"/>
      <c r="X449" s="32"/>
    </row>
    <row r="450">
      <c r="A450" s="67"/>
      <c r="B450" s="81"/>
      <c r="C450" s="79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32"/>
      <c r="S450" s="32"/>
      <c r="T450" s="32"/>
      <c r="U450" s="32"/>
      <c r="V450" s="32"/>
      <c r="W450" s="32"/>
      <c r="X450" s="32"/>
    </row>
    <row r="451">
      <c r="A451" s="67"/>
      <c r="B451" s="81"/>
      <c r="C451" s="79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32"/>
      <c r="S451" s="32"/>
      <c r="T451" s="32"/>
      <c r="U451" s="32"/>
      <c r="V451" s="32"/>
      <c r="W451" s="32"/>
      <c r="X451" s="32"/>
    </row>
    <row r="452">
      <c r="A452" s="67"/>
      <c r="B452" s="81"/>
      <c r="C452" s="79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32"/>
      <c r="S452" s="32"/>
      <c r="T452" s="32"/>
      <c r="U452" s="32"/>
      <c r="V452" s="32"/>
      <c r="W452" s="32"/>
      <c r="X452" s="32"/>
    </row>
    <row r="453">
      <c r="A453" s="67"/>
      <c r="B453" s="81"/>
      <c r="C453" s="79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32"/>
      <c r="S453" s="32"/>
      <c r="T453" s="32"/>
      <c r="U453" s="32"/>
      <c r="V453" s="32"/>
      <c r="W453" s="32"/>
      <c r="X453" s="32"/>
    </row>
    <row r="454">
      <c r="A454" s="67"/>
      <c r="B454" s="81"/>
      <c r="C454" s="79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32"/>
      <c r="S454" s="32"/>
      <c r="T454" s="32"/>
      <c r="U454" s="32"/>
      <c r="V454" s="32"/>
      <c r="W454" s="32"/>
      <c r="X454" s="32"/>
    </row>
    <row r="455">
      <c r="A455" s="67"/>
      <c r="B455" s="81"/>
      <c r="C455" s="79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32"/>
      <c r="S455" s="32"/>
      <c r="T455" s="32"/>
      <c r="U455" s="32"/>
      <c r="V455" s="32"/>
      <c r="W455" s="32"/>
      <c r="X455" s="32"/>
    </row>
    <row r="456">
      <c r="A456" s="67"/>
      <c r="B456" s="81"/>
      <c r="C456" s="79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32"/>
      <c r="S456" s="32"/>
      <c r="T456" s="32"/>
      <c r="U456" s="32"/>
      <c r="V456" s="32"/>
      <c r="W456" s="32"/>
      <c r="X456" s="32"/>
    </row>
    <row r="457">
      <c r="A457" s="67"/>
      <c r="B457" s="81"/>
      <c r="C457" s="79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32"/>
      <c r="S457" s="32"/>
      <c r="T457" s="32"/>
      <c r="U457" s="32"/>
      <c r="V457" s="32"/>
      <c r="W457" s="32"/>
      <c r="X457" s="32"/>
    </row>
    <row r="458">
      <c r="A458" s="67"/>
      <c r="B458" s="81"/>
      <c r="C458" s="79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32"/>
      <c r="S458" s="32"/>
      <c r="T458" s="32"/>
      <c r="U458" s="32"/>
      <c r="V458" s="32"/>
      <c r="W458" s="32"/>
      <c r="X458" s="32"/>
    </row>
    <row r="459">
      <c r="A459" s="67"/>
      <c r="B459" s="81"/>
      <c r="C459" s="79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32"/>
      <c r="S459" s="32"/>
      <c r="T459" s="32"/>
      <c r="U459" s="32"/>
      <c r="V459" s="32"/>
      <c r="W459" s="32"/>
      <c r="X459" s="32"/>
    </row>
    <row r="460">
      <c r="A460" s="67"/>
      <c r="B460" s="81"/>
      <c r="C460" s="79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32"/>
      <c r="S460" s="32"/>
      <c r="T460" s="32"/>
      <c r="U460" s="32"/>
      <c r="V460" s="32"/>
      <c r="W460" s="32"/>
      <c r="X460" s="32"/>
    </row>
    <row r="461">
      <c r="A461" s="67"/>
      <c r="B461" s="81"/>
      <c r="C461" s="79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32"/>
      <c r="S461" s="32"/>
      <c r="T461" s="32"/>
      <c r="U461" s="32"/>
      <c r="V461" s="32"/>
      <c r="W461" s="32"/>
      <c r="X461" s="32"/>
    </row>
    <row r="462">
      <c r="A462" s="67"/>
      <c r="B462" s="81"/>
      <c r="C462" s="79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32"/>
      <c r="S462" s="32"/>
      <c r="T462" s="32"/>
      <c r="U462" s="32"/>
      <c r="V462" s="32"/>
      <c r="W462" s="32"/>
      <c r="X462" s="32"/>
    </row>
    <row r="463">
      <c r="A463" s="67"/>
      <c r="B463" s="81"/>
      <c r="C463" s="79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32"/>
      <c r="S463" s="32"/>
      <c r="T463" s="32"/>
      <c r="U463" s="32"/>
      <c r="V463" s="32"/>
      <c r="W463" s="32"/>
      <c r="X463" s="32"/>
    </row>
    <row r="464">
      <c r="A464" s="67"/>
      <c r="B464" s="81"/>
      <c r="C464" s="79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32"/>
      <c r="S464" s="32"/>
      <c r="T464" s="32"/>
      <c r="U464" s="32"/>
      <c r="V464" s="32"/>
      <c r="W464" s="32"/>
      <c r="X464" s="32"/>
    </row>
    <row r="465">
      <c r="A465" s="67"/>
      <c r="B465" s="81"/>
      <c r="C465" s="79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32"/>
      <c r="S465" s="32"/>
      <c r="T465" s="32"/>
      <c r="U465" s="32"/>
      <c r="V465" s="32"/>
      <c r="W465" s="32"/>
      <c r="X465" s="32"/>
    </row>
    <row r="466">
      <c r="A466" s="67"/>
      <c r="B466" s="81"/>
      <c r="C466" s="79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32"/>
      <c r="S466" s="32"/>
      <c r="T466" s="32"/>
      <c r="U466" s="32"/>
      <c r="V466" s="32"/>
      <c r="W466" s="32"/>
      <c r="X466" s="32"/>
    </row>
    <row r="467">
      <c r="A467" s="67"/>
      <c r="B467" s="81"/>
      <c r="C467" s="79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32"/>
      <c r="S467" s="32"/>
      <c r="T467" s="32"/>
      <c r="U467" s="32"/>
      <c r="V467" s="32"/>
      <c r="W467" s="32"/>
      <c r="X467" s="32"/>
    </row>
    <row r="468">
      <c r="A468" s="67"/>
      <c r="B468" s="81"/>
      <c r="C468" s="79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32"/>
      <c r="S468" s="32"/>
      <c r="T468" s="32"/>
      <c r="U468" s="32"/>
      <c r="V468" s="32"/>
      <c r="W468" s="32"/>
      <c r="X468" s="32"/>
    </row>
    <row r="469">
      <c r="A469" s="67"/>
      <c r="B469" s="81"/>
      <c r="C469" s="79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32"/>
      <c r="S469" s="32"/>
      <c r="T469" s="32"/>
      <c r="U469" s="32"/>
      <c r="V469" s="32"/>
      <c r="W469" s="32"/>
      <c r="X469" s="32"/>
    </row>
    <row r="470">
      <c r="A470" s="67"/>
      <c r="B470" s="81"/>
      <c r="C470" s="79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32"/>
      <c r="S470" s="32"/>
      <c r="T470" s="32"/>
      <c r="U470" s="32"/>
      <c r="V470" s="32"/>
      <c r="W470" s="32"/>
      <c r="X470" s="32"/>
    </row>
    <row r="471">
      <c r="A471" s="67"/>
      <c r="B471" s="81"/>
      <c r="C471" s="79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32"/>
      <c r="S471" s="32"/>
      <c r="T471" s="32"/>
      <c r="U471" s="32"/>
      <c r="V471" s="32"/>
      <c r="W471" s="32"/>
      <c r="X471" s="32"/>
    </row>
    <row r="472">
      <c r="A472" s="67"/>
      <c r="B472" s="81"/>
      <c r="C472" s="79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32"/>
      <c r="S472" s="32"/>
      <c r="T472" s="32"/>
      <c r="U472" s="32"/>
      <c r="V472" s="32"/>
      <c r="W472" s="32"/>
      <c r="X472" s="32"/>
    </row>
    <row r="473">
      <c r="A473" s="67"/>
      <c r="B473" s="81"/>
      <c r="C473" s="79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32"/>
      <c r="S473" s="32"/>
      <c r="T473" s="32"/>
      <c r="U473" s="32"/>
      <c r="V473" s="32"/>
      <c r="W473" s="32"/>
      <c r="X473" s="32"/>
    </row>
    <row r="474">
      <c r="A474" s="67"/>
      <c r="B474" s="81"/>
      <c r="C474" s="79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32"/>
      <c r="S474" s="32"/>
      <c r="T474" s="32"/>
      <c r="U474" s="32"/>
      <c r="V474" s="32"/>
      <c r="W474" s="32"/>
      <c r="X474" s="32"/>
    </row>
    <row r="475">
      <c r="A475" s="67"/>
      <c r="B475" s="81"/>
      <c r="C475" s="79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32"/>
      <c r="S475" s="32"/>
      <c r="T475" s="32"/>
      <c r="U475" s="32"/>
      <c r="V475" s="32"/>
      <c r="W475" s="32"/>
      <c r="X475" s="32"/>
    </row>
    <row r="476">
      <c r="A476" s="67"/>
      <c r="B476" s="81"/>
      <c r="C476" s="79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32"/>
      <c r="S476" s="32"/>
      <c r="T476" s="32"/>
      <c r="U476" s="32"/>
      <c r="V476" s="32"/>
      <c r="W476" s="32"/>
      <c r="X476" s="32"/>
    </row>
    <row r="477">
      <c r="A477" s="67"/>
      <c r="B477" s="81"/>
      <c r="C477" s="79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32"/>
      <c r="S477" s="32"/>
      <c r="T477" s="32"/>
      <c r="U477" s="32"/>
      <c r="V477" s="32"/>
      <c r="W477" s="32"/>
      <c r="X477" s="32"/>
    </row>
    <row r="478">
      <c r="A478" s="67"/>
      <c r="B478" s="81"/>
      <c r="C478" s="79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32"/>
      <c r="S478" s="32"/>
      <c r="T478" s="32"/>
      <c r="U478" s="32"/>
      <c r="V478" s="32"/>
      <c r="W478" s="32"/>
      <c r="X478" s="32"/>
    </row>
    <row r="479">
      <c r="A479" s="67"/>
      <c r="B479" s="81"/>
      <c r="C479" s="79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32"/>
      <c r="S479" s="32"/>
      <c r="T479" s="32"/>
      <c r="U479" s="32"/>
      <c r="V479" s="32"/>
      <c r="W479" s="32"/>
      <c r="X479" s="32"/>
    </row>
    <row r="480">
      <c r="A480" s="67"/>
      <c r="B480" s="81"/>
      <c r="C480" s="79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32"/>
      <c r="S480" s="32"/>
      <c r="T480" s="32"/>
      <c r="U480" s="32"/>
      <c r="V480" s="32"/>
      <c r="W480" s="32"/>
      <c r="X480" s="32"/>
    </row>
    <row r="481">
      <c r="A481" s="67"/>
      <c r="B481" s="81"/>
      <c r="C481" s="79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32"/>
      <c r="S481" s="32"/>
      <c r="T481" s="32"/>
      <c r="U481" s="32"/>
      <c r="V481" s="32"/>
      <c r="W481" s="32"/>
      <c r="X481" s="32"/>
    </row>
    <row r="482">
      <c r="A482" s="67"/>
      <c r="B482" s="81"/>
      <c r="C482" s="79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32"/>
      <c r="S482" s="32"/>
      <c r="T482" s="32"/>
      <c r="U482" s="32"/>
      <c r="V482" s="32"/>
      <c r="W482" s="32"/>
      <c r="X482" s="32"/>
    </row>
    <row r="483">
      <c r="A483" s="67"/>
      <c r="B483" s="81"/>
      <c r="C483" s="79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32"/>
      <c r="S483" s="32"/>
      <c r="T483" s="32"/>
      <c r="U483" s="32"/>
      <c r="V483" s="32"/>
      <c r="W483" s="32"/>
      <c r="X483" s="32"/>
    </row>
    <row r="484">
      <c r="A484" s="67"/>
      <c r="B484" s="81"/>
      <c r="C484" s="79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32"/>
      <c r="S484" s="32"/>
      <c r="T484" s="32"/>
      <c r="U484" s="32"/>
      <c r="V484" s="32"/>
      <c r="W484" s="32"/>
      <c r="X484" s="32"/>
    </row>
    <row r="485">
      <c r="A485" s="67"/>
      <c r="B485" s="81"/>
      <c r="C485" s="79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32"/>
      <c r="S485" s="32"/>
      <c r="T485" s="32"/>
      <c r="U485" s="32"/>
      <c r="V485" s="32"/>
      <c r="W485" s="32"/>
      <c r="X485" s="32"/>
    </row>
    <row r="486">
      <c r="A486" s="67"/>
      <c r="B486" s="81"/>
      <c r="C486" s="79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32"/>
      <c r="S486" s="32"/>
      <c r="T486" s="32"/>
      <c r="U486" s="32"/>
      <c r="V486" s="32"/>
      <c r="W486" s="32"/>
      <c r="X486" s="32"/>
    </row>
    <row r="487">
      <c r="A487" s="67"/>
      <c r="B487" s="81"/>
      <c r="C487" s="79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32"/>
      <c r="S487" s="32"/>
      <c r="T487" s="32"/>
      <c r="U487" s="32"/>
      <c r="V487" s="32"/>
      <c r="W487" s="32"/>
      <c r="X487" s="32"/>
    </row>
    <row r="488">
      <c r="A488" s="67"/>
      <c r="B488" s="81"/>
      <c r="C488" s="79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32"/>
      <c r="S488" s="32"/>
      <c r="T488" s="32"/>
      <c r="U488" s="32"/>
      <c r="V488" s="32"/>
      <c r="W488" s="32"/>
      <c r="X488" s="32"/>
    </row>
    <row r="489">
      <c r="A489" s="67"/>
      <c r="B489" s="81"/>
      <c r="C489" s="79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32"/>
      <c r="S489" s="32"/>
      <c r="T489" s="32"/>
      <c r="U489" s="32"/>
      <c r="V489" s="32"/>
      <c r="W489" s="32"/>
      <c r="X489" s="32"/>
    </row>
    <row r="490">
      <c r="A490" s="67"/>
      <c r="B490" s="81"/>
      <c r="C490" s="79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32"/>
      <c r="S490" s="32"/>
      <c r="T490" s="32"/>
      <c r="U490" s="32"/>
      <c r="V490" s="32"/>
      <c r="W490" s="32"/>
      <c r="X490" s="32"/>
    </row>
    <row r="491">
      <c r="A491" s="67"/>
      <c r="B491" s="81"/>
      <c r="C491" s="79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32"/>
      <c r="S491" s="32"/>
      <c r="T491" s="32"/>
      <c r="U491" s="32"/>
      <c r="V491" s="32"/>
      <c r="W491" s="32"/>
      <c r="X491" s="32"/>
    </row>
    <row r="492">
      <c r="A492" s="67"/>
      <c r="B492" s="81"/>
      <c r="C492" s="79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32"/>
      <c r="S492" s="32"/>
      <c r="T492" s="32"/>
      <c r="U492" s="32"/>
      <c r="V492" s="32"/>
      <c r="W492" s="32"/>
      <c r="X492" s="32"/>
    </row>
    <row r="493">
      <c r="A493" s="67"/>
      <c r="B493" s="81"/>
      <c r="C493" s="79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32"/>
      <c r="S493" s="32"/>
      <c r="T493" s="32"/>
      <c r="U493" s="32"/>
      <c r="V493" s="32"/>
      <c r="W493" s="32"/>
      <c r="X493" s="32"/>
    </row>
    <row r="494">
      <c r="A494" s="67"/>
      <c r="B494" s="81"/>
      <c r="C494" s="79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32"/>
      <c r="S494" s="32"/>
      <c r="T494" s="32"/>
      <c r="U494" s="32"/>
      <c r="V494" s="32"/>
      <c r="W494" s="32"/>
      <c r="X494" s="32"/>
    </row>
    <row r="495">
      <c r="A495" s="67"/>
      <c r="B495" s="81"/>
      <c r="C495" s="79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32"/>
      <c r="S495" s="32"/>
      <c r="T495" s="32"/>
      <c r="U495" s="32"/>
      <c r="V495" s="32"/>
      <c r="W495" s="32"/>
      <c r="X495" s="32"/>
    </row>
    <row r="496">
      <c r="A496" s="67"/>
      <c r="B496" s="81"/>
      <c r="C496" s="79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32"/>
      <c r="S496" s="32"/>
      <c r="T496" s="32"/>
      <c r="U496" s="32"/>
      <c r="V496" s="32"/>
      <c r="W496" s="32"/>
      <c r="X496" s="32"/>
    </row>
    <row r="497">
      <c r="A497" s="67"/>
      <c r="B497" s="81"/>
      <c r="C497" s="79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32"/>
      <c r="S497" s="32"/>
      <c r="T497" s="32"/>
      <c r="U497" s="32"/>
      <c r="V497" s="32"/>
      <c r="W497" s="32"/>
      <c r="X497" s="32"/>
    </row>
    <row r="498">
      <c r="A498" s="67"/>
      <c r="B498" s="81"/>
      <c r="C498" s="79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32"/>
      <c r="S498" s="32"/>
      <c r="T498" s="32"/>
      <c r="U498" s="32"/>
      <c r="V498" s="32"/>
      <c r="W498" s="32"/>
      <c r="X498" s="32"/>
    </row>
    <row r="499">
      <c r="A499" s="67"/>
      <c r="B499" s="81"/>
      <c r="C499" s="79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32"/>
      <c r="S499" s="32"/>
      <c r="T499" s="32"/>
      <c r="U499" s="32"/>
      <c r="V499" s="32"/>
      <c r="W499" s="32"/>
      <c r="X499" s="32"/>
    </row>
    <row r="500">
      <c r="A500" s="67"/>
      <c r="B500" s="81"/>
      <c r="C500" s="79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32"/>
      <c r="S500" s="32"/>
      <c r="T500" s="32"/>
      <c r="U500" s="32"/>
      <c r="V500" s="32"/>
      <c r="W500" s="32"/>
      <c r="X500" s="32"/>
    </row>
    <row r="501">
      <c r="A501" s="67"/>
      <c r="B501" s="81"/>
      <c r="C501" s="79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32"/>
      <c r="S501" s="32"/>
      <c r="T501" s="32"/>
      <c r="U501" s="32"/>
      <c r="V501" s="32"/>
      <c r="W501" s="32"/>
      <c r="X501" s="32"/>
    </row>
    <row r="502">
      <c r="A502" s="67"/>
      <c r="B502" s="81"/>
      <c r="C502" s="79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32"/>
      <c r="S502" s="32"/>
      <c r="T502" s="32"/>
      <c r="U502" s="32"/>
      <c r="V502" s="32"/>
      <c r="W502" s="32"/>
      <c r="X502" s="32"/>
    </row>
    <row r="503">
      <c r="A503" s="67"/>
      <c r="B503" s="81"/>
      <c r="C503" s="79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32"/>
      <c r="S503" s="32"/>
      <c r="T503" s="32"/>
      <c r="U503" s="32"/>
      <c r="V503" s="32"/>
      <c r="W503" s="32"/>
      <c r="X503" s="32"/>
    </row>
    <row r="504">
      <c r="A504" s="67"/>
      <c r="B504" s="81"/>
      <c r="C504" s="79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32"/>
      <c r="S504" s="32"/>
      <c r="T504" s="32"/>
      <c r="U504" s="32"/>
      <c r="V504" s="32"/>
      <c r="W504" s="32"/>
      <c r="X504" s="32"/>
    </row>
    <row r="505">
      <c r="A505" s="67"/>
      <c r="B505" s="81"/>
      <c r="C505" s="79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32"/>
      <c r="S505" s="32"/>
      <c r="T505" s="32"/>
      <c r="U505" s="32"/>
      <c r="V505" s="32"/>
      <c r="W505" s="32"/>
      <c r="X505" s="32"/>
    </row>
    <row r="506">
      <c r="A506" s="67"/>
      <c r="B506" s="81"/>
      <c r="C506" s="79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32"/>
      <c r="S506" s="32"/>
      <c r="T506" s="32"/>
      <c r="U506" s="32"/>
      <c r="V506" s="32"/>
      <c r="W506" s="32"/>
      <c r="X506" s="32"/>
    </row>
    <row r="507">
      <c r="A507" s="67"/>
      <c r="B507" s="81"/>
      <c r="C507" s="79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32"/>
      <c r="S507" s="32"/>
      <c r="T507" s="32"/>
      <c r="U507" s="32"/>
      <c r="V507" s="32"/>
      <c r="W507" s="32"/>
      <c r="X507" s="32"/>
    </row>
    <row r="508">
      <c r="A508" s="67"/>
      <c r="B508" s="81"/>
      <c r="C508" s="79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32"/>
      <c r="S508" s="32"/>
      <c r="T508" s="32"/>
      <c r="U508" s="32"/>
      <c r="V508" s="32"/>
      <c r="W508" s="32"/>
      <c r="X508" s="32"/>
    </row>
    <row r="509">
      <c r="A509" s="67"/>
      <c r="B509" s="81"/>
      <c r="C509" s="79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32"/>
      <c r="S509" s="32"/>
      <c r="T509" s="32"/>
      <c r="U509" s="32"/>
      <c r="V509" s="32"/>
      <c r="W509" s="32"/>
      <c r="X509" s="32"/>
    </row>
    <row r="510">
      <c r="A510" s="67"/>
      <c r="B510" s="81"/>
      <c r="C510" s="79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32"/>
      <c r="S510" s="32"/>
      <c r="T510" s="32"/>
      <c r="U510" s="32"/>
      <c r="V510" s="32"/>
      <c r="W510" s="32"/>
      <c r="X510" s="32"/>
    </row>
    <row r="511">
      <c r="A511" s="67"/>
      <c r="B511" s="81"/>
      <c r="C511" s="79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32"/>
      <c r="S511" s="32"/>
      <c r="T511" s="32"/>
      <c r="U511" s="32"/>
      <c r="V511" s="32"/>
      <c r="W511" s="32"/>
      <c r="X511" s="32"/>
    </row>
    <row r="512">
      <c r="A512" s="67"/>
      <c r="B512" s="81"/>
      <c r="C512" s="79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32"/>
      <c r="S512" s="32"/>
      <c r="T512" s="32"/>
      <c r="U512" s="32"/>
      <c r="V512" s="32"/>
      <c r="W512" s="32"/>
      <c r="X512" s="32"/>
    </row>
    <row r="513">
      <c r="A513" s="67"/>
      <c r="B513" s="81"/>
      <c r="C513" s="79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32"/>
      <c r="S513" s="32"/>
      <c r="T513" s="32"/>
      <c r="U513" s="32"/>
      <c r="V513" s="32"/>
      <c r="W513" s="32"/>
      <c r="X513" s="32"/>
    </row>
    <row r="514">
      <c r="A514" s="67"/>
      <c r="B514" s="81"/>
      <c r="C514" s="79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32"/>
      <c r="S514" s="32"/>
      <c r="T514" s="32"/>
      <c r="U514" s="32"/>
      <c r="V514" s="32"/>
      <c r="W514" s="32"/>
      <c r="X514" s="32"/>
    </row>
    <row r="515">
      <c r="A515" s="67"/>
      <c r="B515" s="81"/>
      <c r="C515" s="79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32"/>
      <c r="S515" s="32"/>
      <c r="T515" s="32"/>
      <c r="U515" s="32"/>
      <c r="V515" s="32"/>
      <c r="W515" s="32"/>
      <c r="X515" s="32"/>
    </row>
    <row r="516">
      <c r="A516" s="67"/>
      <c r="B516" s="81"/>
      <c r="C516" s="79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32"/>
      <c r="S516" s="32"/>
      <c r="T516" s="32"/>
      <c r="U516" s="32"/>
      <c r="V516" s="32"/>
      <c r="W516" s="32"/>
      <c r="X516" s="32"/>
    </row>
    <row r="517">
      <c r="A517" s="67"/>
      <c r="B517" s="81"/>
      <c r="C517" s="79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32"/>
      <c r="S517" s="32"/>
      <c r="T517" s="32"/>
      <c r="U517" s="32"/>
      <c r="V517" s="32"/>
      <c r="W517" s="32"/>
      <c r="X517" s="32"/>
    </row>
    <row r="518">
      <c r="A518" s="67"/>
      <c r="B518" s="81"/>
      <c r="C518" s="79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32"/>
      <c r="S518" s="32"/>
      <c r="T518" s="32"/>
      <c r="U518" s="32"/>
      <c r="V518" s="32"/>
      <c r="W518" s="32"/>
      <c r="X518" s="32"/>
    </row>
    <row r="519">
      <c r="A519" s="67"/>
      <c r="B519" s="81"/>
      <c r="C519" s="79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32"/>
      <c r="S519" s="32"/>
      <c r="T519" s="32"/>
      <c r="U519" s="32"/>
      <c r="V519" s="32"/>
      <c r="W519" s="32"/>
      <c r="X519" s="32"/>
    </row>
    <row r="520">
      <c r="A520" s="67"/>
      <c r="B520" s="81"/>
      <c r="C520" s="79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32"/>
      <c r="S520" s="32"/>
      <c r="T520" s="32"/>
      <c r="U520" s="32"/>
      <c r="V520" s="32"/>
      <c r="W520" s="32"/>
      <c r="X520" s="32"/>
    </row>
    <row r="521">
      <c r="A521" s="67"/>
      <c r="B521" s="81"/>
      <c r="C521" s="79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32"/>
      <c r="S521" s="32"/>
      <c r="T521" s="32"/>
      <c r="U521" s="32"/>
      <c r="V521" s="32"/>
      <c r="W521" s="32"/>
      <c r="X521" s="32"/>
    </row>
    <row r="522">
      <c r="A522" s="67"/>
      <c r="B522" s="81"/>
      <c r="C522" s="79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32"/>
      <c r="S522" s="32"/>
      <c r="T522" s="32"/>
      <c r="U522" s="32"/>
      <c r="V522" s="32"/>
      <c r="W522" s="32"/>
      <c r="X522" s="32"/>
    </row>
    <row r="523">
      <c r="A523" s="67"/>
      <c r="B523" s="81"/>
      <c r="C523" s="79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32"/>
      <c r="S523" s="32"/>
      <c r="T523" s="32"/>
      <c r="U523" s="32"/>
      <c r="V523" s="32"/>
      <c r="W523" s="32"/>
      <c r="X523" s="32"/>
    </row>
    <row r="524">
      <c r="A524" s="67"/>
      <c r="B524" s="81"/>
      <c r="C524" s="79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32"/>
      <c r="S524" s="32"/>
      <c r="T524" s="32"/>
      <c r="U524" s="32"/>
      <c r="V524" s="32"/>
      <c r="W524" s="32"/>
      <c r="X524" s="32"/>
    </row>
    <row r="525">
      <c r="A525" s="67"/>
      <c r="B525" s="81"/>
      <c r="C525" s="79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32"/>
      <c r="S525" s="32"/>
      <c r="T525" s="32"/>
      <c r="U525" s="32"/>
      <c r="V525" s="32"/>
      <c r="W525" s="32"/>
      <c r="X525" s="32"/>
    </row>
    <row r="526">
      <c r="A526" s="67"/>
      <c r="B526" s="81"/>
      <c r="C526" s="79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32"/>
      <c r="S526" s="32"/>
      <c r="T526" s="32"/>
      <c r="U526" s="32"/>
      <c r="V526" s="32"/>
      <c r="W526" s="32"/>
      <c r="X526" s="32"/>
    </row>
    <row r="527">
      <c r="A527" s="67"/>
      <c r="B527" s="81"/>
      <c r="C527" s="79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32"/>
      <c r="S527" s="32"/>
      <c r="T527" s="32"/>
      <c r="U527" s="32"/>
      <c r="V527" s="32"/>
      <c r="W527" s="32"/>
      <c r="X527" s="32"/>
    </row>
    <row r="528">
      <c r="A528" s="67"/>
      <c r="B528" s="81"/>
      <c r="C528" s="79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32"/>
      <c r="S528" s="32"/>
      <c r="T528" s="32"/>
      <c r="U528" s="32"/>
      <c r="V528" s="32"/>
      <c r="W528" s="32"/>
      <c r="X528" s="32"/>
    </row>
    <row r="529">
      <c r="A529" s="67"/>
      <c r="B529" s="81"/>
      <c r="C529" s="79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32"/>
      <c r="S529" s="32"/>
      <c r="T529" s="32"/>
      <c r="U529" s="32"/>
      <c r="V529" s="32"/>
      <c r="W529" s="32"/>
      <c r="X529" s="32"/>
    </row>
    <row r="530">
      <c r="A530" s="67"/>
      <c r="B530" s="81"/>
      <c r="C530" s="79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32"/>
      <c r="S530" s="32"/>
      <c r="T530" s="32"/>
      <c r="U530" s="32"/>
      <c r="V530" s="32"/>
      <c r="W530" s="32"/>
      <c r="X530" s="32"/>
    </row>
    <row r="531">
      <c r="A531" s="67"/>
      <c r="B531" s="81"/>
      <c r="C531" s="79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32"/>
      <c r="S531" s="32"/>
      <c r="T531" s="32"/>
      <c r="U531" s="32"/>
      <c r="V531" s="32"/>
      <c r="W531" s="32"/>
      <c r="X531" s="32"/>
    </row>
    <row r="532">
      <c r="A532" s="67"/>
      <c r="B532" s="81"/>
      <c r="C532" s="79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32"/>
      <c r="S532" s="32"/>
      <c r="T532" s="32"/>
      <c r="U532" s="32"/>
      <c r="V532" s="32"/>
      <c r="W532" s="32"/>
      <c r="X532" s="32"/>
    </row>
    <row r="533">
      <c r="A533" s="67"/>
      <c r="B533" s="81"/>
      <c r="C533" s="79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32"/>
      <c r="S533" s="32"/>
      <c r="T533" s="32"/>
      <c r="U533" s="32"/>
      <c r="V533" s="32"/>
      <c r="W533" s="32"/>
      <c r="X533" s="32"/>
    </row>
    <row r="534">
      <c r="A534" s="67"/>
      <c r="B534" s="81"/>
      <c r="C534" s="79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32"/>
      <c r="S534" s="32"/>
      <c r="T534" s="32"/>
      <c r="U534" s="32"/>
      <c r="V534" s="32"/>
      <c r="W534" s="32"/>
      <c r="X534" s="32"/>
    </row>
    <row r="535">
      <c r="A535" s="67"/>
      <c r="B535" s="81"/>
      <c r="C535" s="79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32"/>
      <c r="S535" s="32"/>
      <c r="T535" s="32"/>
      <c r="U535" s="32"/>
      <c r="V535" s="32"/>
      <c r="W535" s="32"/>
      <c r="X535" s="32"/>
    </row>
    <row r="536">
      <c r="A536" s="67"/>
      <c r="B536" s="81"/>
      <c r="C536" s="79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32"/>
      <c r="S536" s="32"/>
      <c r="T536" s="32"/>
      <c r="U536" s="32"/>
      <c r="V536" s="32"/>
      <c r="W536" s="32"/>
      <c r="X536" s="32"/>
    </row>
    <row r="537">
      <c r="A537" s="67"/>
      <c r="B537" s="81"/>
      <c r="C537" s="79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32"/>
      <c r="S537" s="32"/>
      <c r="T537" s="32"/>
      <c r="U537" s="32"/>
      <c r="V537" s="32"/>
      <c r="W537" s="32"/>
      <c r="X537" s="32"/>
    </row>
    <row r="538">
      <c r="A538" s="67"/>
      <c r="B538" s="81"/>
      <c r="C538" s="79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32"/>
      <c r="S538" s="32"/>
      <c r="T538" s="32"/>
      <c r="U538" s="32"/>
      <c r="V538" s="32"/>
      <c r="W538" s="32"/>
      <c r="X538" s="32"/>
    </row>
    <row r="539">
      <c r="A539" s="67"/>
      <c r="B539" s="81"/>
      <c r="C539" s="79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32"/>
      <c r="S539" s="32"/>
      <c r="T539" s="32"/>
      <c r="U539" s="32"/>
      <c r="V539" s="32"/>
      <c r="W539" s="32"/>
      <c r="X539" s="32"/>
    </row>
    <row r="540">
      <c r="A540" s="67"/>
      <c r="B540" s="81"/>
      <c r="C540" s="79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32"/>
      <c r="S540" s="32"/>
      <c r="T540" s="32"/>
      <c r="U540" s="32"/>
      <c r="V540" s="32"/>
      <c r="W540" s="32"/>
      <c r="X540" s="32"/>
    </row>
    <row r="541">
      <c r="A541" s="67"/>
      <c r="B541" s="81"/>
      <c r="C541" s="79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32"/>
      <c r="S541" s="32"/>
      <c r="T541" s="32"/>
      <c r="U541" s="32"/>
      <c r="V541" s="32"/>
      <c r="W541" s="32"/>
      <c r="X541" s="32"/>
    </row>
    <row r="542">
      <c r="A542" s="67"/>
      <c r="B542" s="81"/>
      <c r="C542" s="79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32"/>
      <c r="S542" s="32"/>
      <c r="T542" s="32"/>
      <c r="U542" s="32"/>
      <c r="V542" s="32"/>
      <c r="W542" s="32"/>
      <c r="X542" s="32"/>
    </row>
    <row r="543">
      <c r="A543" s="67"/>
      <c r="B543" s="81"/>
      <c r="C543" s="79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32"/>
      <c r="S543" s="32"/>
      <c r="T543" s="32"/>
      <c r="U543" s="32"/>
      <c r="V543" s="32"/>
      <c r="W543" s="32"/>
      <c r="X543" s="32"/>
    </row>
    <row r="544">
      <c r="A544" s="67"/>
      <c r="B544" s="81"/>
      <c r="C544" s="79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32"/>
      <c r="S544" s="32"/>
      <c r="T544" s="32"/>
      <c r="U544" s="32"/>
      <c r="V544" s="32"/>
      <c r="W544" s="32"/>
      <c r="X544" s="32"/>
    </row>
    <row r="545">
      <c r="A545" s="67"/>
      <c r="B545" s="81"/>
      <c r="C545" s="79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32"/>
      <c r="S545" s="32"/>
      <c r="T545" s="32"/>
      <c r="U545" s="32"/>
      <c r="V545" s="32"/>
      <c r="W545" s="32"/>
      <c r="X545" s="32"/>
    </row>
    <row r="546">
      <c r="A546" s="67"/>
      <c r="B546" s="81"/>
      <c r="C546" s="79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32"/>
      <c r="S546" s="32"/>
      <c r="T546" s="32"/>
      <c r="U546" s="32"/>
      <c r="V546" s="32"/>
      <c r="W546" s="32"/>
      <c r="X546" s="32"/>
    </row>
    <row r="547">
      <c r="A547" s="67"/>
      <c r="B547" s="81"/>
      <c r="C547" s="79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32"/>
      <c r="S547" s="32"/>
      <c r="T547" s="32"/>
      <c r="U547" s="32"/>
      <c r="V547" s="32"/>
      <c r="W547" s="32"/>
      <c r="X547" s="32"/>
    </row>
    <row r="548">
      <c r="A548" s="67"/>
      <c r="B548" s="81"/>
      <c r="C548" s="79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32"/>
      <c r="S548" s="32"/>
      <c r="T548" s="32"/>
      <c r="U548" s="32"/>
      <c r="V548" s="32"/>
      <c r="W548" s="32"/>
      <c r="X548" s="32"/>
    </row>
    <row r="549">
      <c r="A549" s="67"/>
      <c r="B549" s="81"/>
      <c r="C549" s="79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32"/>
      <c r="S549" s="32"/>
      <c r="T549" s="32"/>
      <c r="U549" s="32"/>
      <c r="V549" s="32"/>
      <c r="W549" s="32"/>
      <c r="X549" s="32"/>
    </row>
    <row r="550">
      <c r="A550" s="67"/>
      <c r="B550" s="81"/>
      <c r="C550" s="79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32"/>
      <c r="S550" s="32"/>
      <c r="T550" s="32"/>
      <c r="U550" s="32"/>
      <c r="V550" s="32"/>
      <c r="W550" s="32"/>
      <c r="X550" s="32"/>
    </row>
    <row r="551">
      <c r="A551" s="67"/>
      <c r="B551" s="81"/>
      <c r="C551" s="79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32"/>
      <c r="S551" s="32"/>
      <c r="T551" s="32"/>
      <c r="U551" s="32"/>
      <c r="V551" s="32"/>
      <c r="W551" s="32"/>
      <c r="X551" s="32"/>
    </row>
    <row r="552">
      <c r="A552" s="67"/>
      <c r="B552" s="81"/>
      <c r="C552" s="79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32"/>
      <c r="S552" s="32"/>
      <c r="T552" s="32"/>
      <c r="U552" s="32"/>
      <c r="V552" s="32"/>
      <c r="W552" s="32"/>
      <c r="X552" s="32"/>
    </row>
    <row r="553">
      <c r="A553" s="67"/>
      <c r="B553" s="81"/>
      <c r="C553" s="79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32"/>
      <c r="S553" s="32"/>
      <c r="T553" s="32"/>
      <c r="U553" s="32"/>
      <c r="V553" s="32"/>
      <c r="W553" s="32"/>
      <c r="X553" s="32"/>
    </row>
    <row r="554">
      <c r="A554" s="67"/>
      <c r="B554" s="81"/>
      <c r="C554" s="79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32"/>
      <c r="S554" s="32"/>
      <c r="T554" s="32"/>
      <c r="U554" s="32"/>
      <c r="V554" s="32"/>
      <c r="W554" s="32"/>
      <c r="X554" s="32"/>
    </row>
    <row r="555">
      <c r="A555" s="67"/>
      <c r="B555" s="81"/>
      <c r="C555" s="79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32"/>
      <c r="S555" s="32"/>
      <c r="T555" s="32"/>
      <c r="U555" s="32"/>
      <c r="V555" s="32"/>
      <c r="W555" s="32"/>
      <c r="X555" s="32"/>
    </row>
    <row r="556">
      <c r="A556" s="67"/>
      <c r="B556" s="81"/>
      <c r="C556" s="79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32"/>
      <c r="S556" s="32"/>
      <c r="T556" s="32"/>
      <c r="U556" s="32"/>
      <c r="V556" s="32"/>
      <c r="W556" s="32"/>
      <c r="X556" s="32"/>
    </row>
    <row r="557">
      <c r="A557" s="67"/>
      <c r="B557" s="81"/>
      <c r="C557" s="79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32"/>
      <c r="S557" s="32"/>
      <c r="T557" s="32"/>
      <c r="U557" s="32"/>
      <c r="V557" s="32"/>
      <c r="W557" s="32"/>
      <c r="X557" s="32"/>
    </row>
    <row r="558">
      <c r="A558" s="67"/>
      <c r="B558" s="81"/>
      <c r="C558" s="79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32"/>
      <c r="S558" s="32"/>
      <c r="T558" s="32"/>
      <c r="U558" s="32"/>
      <c r="V558" s="32"/>
      <c r="W558" s="32"/>
      <c r="X558" s="32"/>
    </row>
    <row r="559">
      <c r="A559" s="67"/>
      <c r="B559" s="81"/>
      <c r="C559" s="79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32"/>
      <c r="S559" s="32"/>
      <c r="T559" s="32"/>
      <c r="U559" s="32"/>
      <c r="V559" s="32"/>
      <c r="W559" s="32"/>
      <c r="X559" s="32"/>
    </row>
    <row r="560">
      <c r="A560" s="67"/>
      <c r="B560" s="81"/>
      <c r="C560" s="79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32"/>
      <c r="S560" s="32"/>
      <c r="T560" s="32"/>
      <c r="U560" s="32"/>
      <c r="V560" s="32"/>
      <c r="W560" s="32"/>
      <c r="X560" s="32"/>
    </row>
    <row r="561">
      <c r="A561" s="67"/>
      <c r="B561" s="81"/>
      <c r="C561" s="79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32"/>
      <c r="S561" s="32"/>
      <c r="T561" s="32"/>
      <c r="U561" s="32"/>
      <c r="V561" s="32"/>
      <c r="W561" s="32"/>
      <c r="X561" s="32"/>
    </row>
    <row r="562">
      <c r="A562" s="67"/>
      <c r="B562" s="81"/>
      <c r="C562" s="79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32"/>
      <c r="S562" s="32"/>
      <c r="T562" s="32"/>
      <c r="U562" s="32"/>
      <c r="V562" s="32"/>
      <c r="W562" s="32"/>
      <c r="X562" s="32"/>
    </row>
    <row r="563">
      <c r="A563" s="67"/>
      <c r="B563" s="81"/>
      <c r="C563" s="79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32"/>
      <c r="S563" s="32"/>
      <c r="T563" s="32"/>
      <c r="U563" s="32"/>
      <c r="V563" s="32"/>
      <c r="W563" s="32"/>
      <c r="X563" s="32"/>
    </row>
    <row r="564">
      <c r="A564" s="67"/>
      <c r="B564" s="81"/>
      <c r="C564" s="79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32"/>
      <c r="S564" s="32"/>
      <c r="T564" s="32"/>
      <c r="U564" s="32"/>
      <c r="V564" s="32"/>
      <c r="W564" s="32"/>
      <c r="X564" s="32"/>
    </row>
    <row r="565">
      <c r="A565" s="67"/>
      <c r="B565" s="81"/>
      <c r="C565" s="79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32"/>
      <c r="S565" s="32"/>
      <c r="T565" s="32"/>
      <c r="U565" s="32"/>
      <c r="V565" s="32"/>
      <c r="W565" s="32"/>
      <c r="X565" s="32"/>
    </row>
    <row r="566">
      <c r="A566" s="67"/>
      <c r="B566" s="81"/>
      <c r="C566" s="79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32"/>
      <c r="S566" s="32"/>
      <c r="T566" s="32"/>
      <c r="U566" s="32"/>
      <c r="V566" s="32"/>
      <c r="W566" s="32"/>
      <c r="X566" s="32"/>
    </row>
    <row r="567">
      <c r="A567" s="67"/>
      <c r="B567" s="81"/>
      <c r="C567" s="79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32"/>
      <c r="S567" s="32"/>
      <c r="T567" s="32"/>
      <c r="U567" s="32"/>
      <c r="V567" s="32"/>
      <c r="W567" s="32"/>
      <c r="X567" s="32"/>
    </row>
    <row r="568">
      <c r="A568" s="67"/>
      <c r="B568" s="81"/>
      <c r="C568" s="79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32"/>
      <c r="S568" s="32"/>
      <c r="T568" s="32"/>
      <c r="U568" s="32"/>
      <c r="V568" s="32"/>
      <c r="W568" s="32"/>
      <c r="X568" s="32"/>
    </row>
    <row r="569">
      <c r="A569" s="67"/>
      <c r="B569" s="81"/>
      <c r="C569" s="79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32"/>
      <c r="S569" s="32"/>
      <c r="T569" s="32"/>
      <c r="U569" s="32"/>
      <c r="V569" s="32"/>
      <c r="W569" s="32"/>
      <c r="X569" s="32"/>
    </row>
    <row r="570">
      <c r="A570" s="67"/>
      <c r="B570" s="81"/>
      <c r="C570" s="79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32"/>
      <c r="S570" s="32"/>
      <c r="T570" s="32"/>
      <c r="U570" s="32"/>
      <c r="V570" s="32"/>
      <c r="W570" s="32"/>
      <c r="X570" s="32"/>
    </row>
    <row r="571">
      <c r="A571" s="67"/>
      <c r="B571" s="81"/>
      <c r="C571" s="79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32"/>
      <c r="S571" s="32"/>
      <c r="T571" s="32"/>
      <c r="U571" s="32"/>
      <c r="V571" s="32"/>
      <c r="W571" s="32"/>
      <c r="X571" s="32"/>
    </row>
    <row r="572">
      <c r="A572" s="67"/>
      <c r="B572" s="81"/>
      <c r="C572" s="79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32"/>
      <c r="S572" s="32"/>
      <c r="T572" s="32"/>
      <c r="U572" s="32"/>
      <c r="V572" s="32"/>
      <c r="W572" s="32"/>
      <c r="X572" s="32"/>
    </row>
    <row r="573">
      <c r="A573" s="67"/>
      <c r="B573" s="81"/>
      <c r="C573" s="79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32"/>
      <c r="S573" s="32"/>
      <c r="T573" s="32"/>
      <c r="U573" s="32"/>
      <c r="V573" s="32"/>
      <c r="W573" s="32"/>
      <c r="X573" s="32"/>
    </row>
    <row r="574">
      <c r="A574" s="67"/>
      <c r="B574" s="81"/>
      <c r="C574" s="79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32"/>
      <c r="S574" s="32"/>
      <c r="T574" s="32"/>
      <c r="U574" s="32"/>
      <c r="V574" s="32"/>
      <c r="W574" s="32"/>
      <c r="X574" s="32"/>
    </row>
    <row r="575">
      <c r="A575" s="67"/>
      <c r="B575" s="81"/>
      <c r="C575" s="79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32"/>
      <c r="S575" s="32"/>
      <c r="T575" s="32"/>
      <c r="U575" s="32"/>
      <c r="V575" s="32"/>
      <c r="W575" s="32"/>
      <c r="X575" s="32"/>
    </row>
    <row r="576">
      <c r="A576" s="67"/>
      <c r="B576" s="81"/>
      <c r="C576" s="79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32"/>
      <c r="S576" s="32"/>
      <c r="T576" s="32"/>
      <c r="U576" s="32"/>
      <c r="V576" s="32"/>
      <c r="W576" s="32"/>
      <c r="X576" s="32"/>
    </row>
    <row r="577">
      <c r="A577" s="67"/>
      <c r="B577" s="81"/>
      <c r="C577" s="79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32"/>
      <c r="S577" s="32"/>
      <c r="T577" s="32"/>
      <c r="U577" s="32"/>
      <c r="V577" s="32"/>
      <c r="W577" s="32"/>
      <c r="X577" s="32"/>
    </row>
    <row r="578">
      <c r="A578" s="67"/>
      <c r="B578" s="81"/>
      <c r="C578" s="79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32"/>
      <c r="S578" s="32"/>
      <c r="T578" s="32"/>
      <c r="U578" s="32"/>
      <c r="V578" s="32"/>
      <c r="W578" s="32"/>
      <c r="X578" s="32"/>
    </row>
    <row r="579">
      <c r="A579" s="67"/>
      <c r="B579" s="81"/>
      <c r="C579" s="79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32"/>
      <c r="S579" s="32"/>
      <c r="T579" s="32"/>
      <c r="U579" s="32"/>
      <c r="V579" s="32"/>
      <c r="W579" s="32"/>
      <c r="X579" s="32"/>
    </row>
    <row r="580">
      <c r="A580" s="67"/>
      <c r="B580" s="81"/>
      <c r="C580" s="79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32"/>
      <c r="S580" s="32"/>
      <c r="T580" s="32"/>
      <c r="U580" s="32"/>
      <c r="V580" s="32"/>
      <c r="W580" s="32"/>
      <c r="X580" s="32"/>
    </row>
    <row r="581">
      <c r="A581" s="67"/>
      <c r="B581" s="81"/>
      <c r="C581" s="79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32"/>
      <c r="S581" s="32"/>
      <c r="T581" s="32"/>
      <c r="U581" s="32"/>
      <c r="V581" s="32"/>
      <c r="W581" s="32"/>
      <c r="X581" s="32"/>
    </row>
    <row r="582">
      <c r="A582" s="67"/>
      <c r="B582" s="81"/>
      <c r="C582" s="79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32"/>
      <c r="S582" s="32"/>
      <c r="T582" s="32"/>
      <c r="U582" s="32"/>
      <c r="V582" s="32"/>
      <c r="W582" s="32"/>
      <c r="X582" s="32"/>
    </row>
    <row r="583">
      <c r="A583" s="67"/>
      <c r="B583" s="81"/>
      <c r="C583" s="79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32"/>
      <c r="S583" s="32"/>
      <c r="T583" s="32"/>
      <c r="U583" s="32"/>
      <c r="V583" s="32"/>
      <c r="W583" s="32"/>
      <c r="X583" s="32"/>
    </row>
    <row r="584">
      <c r="A584" s="67"/>
      <c r="B584" s="81"/>
      <c r="C584" s="79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32"/>
      <c r="S584" s="32"/>
      <c r="T584" s="32"/>
      <c r="U584" s="32"/>
      <c r="V584" s="32"/>
      <c r="W584" s="32"/>
      <c r="X584" s="32"/>
    </row>
    <row r="585">
      <c r="A585" s="67"/>
      <c r="B585" s="81"/>
      <c r="C585" s="79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32"/>
      <c r="S585" s="32"/>
      <c r="T585" s="32"/>
      <c r="U585" s="32"/>
      <c r="V585" s="32"/>
      <c r="W585" s="32"/>
      <c r="X585" s="32"/>
    </row>
    <row r="586">
      <c r="A586" s="67"/>
      <c r="B586" s="81"/>
      <c r="C586" s="79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32"/>
      <c r="S586" s="32"/>
      <c r="T586" s="32"/>
      <c r="U586" s="32"/>
      <c r="V586" s="32"/>
      <c r="W586" s="32"/>
      <c r="X586" s="32"/>
    </row>
    <row r="587">
      <c r="A587" s="67"/>
      <c r="B587" s="81"/>
      <c r="C587" s="79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32"/>
      <c r="S587" s="32"/>
      <c r="T587" s="32"/>
      <c r="U587" s="32"/>
      <c r="V587" s="32"/>
      <c r="W587" s="32"/>
      <c r="X587" s="32"/>
    </row>
    <row r="588">
      <c r="A588" s="67"/>
      <c r="B588" s="81"/>
      <c r="C588" s="79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32"/>
      <c r="S588" s="32"/>
      <c r="T588" s="32"/>
      <c r="U588" s="32"/>
      <c r="V588" s="32"/>
      <c r="W588" s="32"/>
      <c r="X588" s="32"/>
    </row>
    <row r="589">
      <c r="A589" s="67"/>
      <c r="B589" s="81"/>
      <c r="C589" s="79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32"/>
      <c r="S589" s="32"/>
      <c r="T589" s="32"/>
      <c r="U589" s="32"/>
      <c r="V589" s="32"/>
      <c r="W589" s="32"/>
      <c r="X589" s="32"/>
    </row>
    <row r="590">
      <c r="A590" s="67"/>
      <c r="B590" s="81"/>
      <c r="C590" s="79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32"/>
      <c r="S590" s="32"/>
      <c r="T590" s="32"/>
      <c r="U590" s="32"/>
      <c r="V590" s="32"/>
      <c r="W590" s="32"/>
      <c r="X590" s="32"/>
    </row>
    <row r="591">
      <c r="A591" s="67"/>
      <c r="B591" s="81"/>
      <c r="C591" s="79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32"/>
      <c r="S591" s="32"/>
      <c r="T591" s="32"/>
      <c r="U591" s="32"/>
      <c r="V591" s="32"/>
      <c r="W591" s="32"/>
      <c r="X591" s="32"/>
    </row>
    <row r="592">
      <c r="A592" s="67"/>
      <c r="B592" s="81"/>
      <c r="C592" s="79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32"/>
      <c r="S592" s="32"/>
      <c r="T592" s="32"/>
      <c r="U592" s="32"/>
      <c r="V592" s="32"/>
      <c r="W592" s="32"/>
      <c r="X592" s="32"/>
    </row>
    <row r="593">
      <c r="A593" s="67"/>
      <c r="B593" s="81"/>
      <c r="C593" s="79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32"/>
      <c r="S593" s="32"/>
      <c r="T593" s="32"/>
      <c r="U593" s="32"/>
      <c r="V593" s="32"/>
      <c r="W593" s="32"/>
      <c r="X593" s="32"/>
    </row>
    <row r="594">
      <c r="A594" s="67"/>
      <c r="B594" s="81"/>
      <c r="C594" s="79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32"/>
      <c r="S594" s="32"/>
      <c r="T594" s="32"/>
      <c r="U594" s="32"/>
      <c r="V594" s="32"/>
      <c r="W594" s="32"/>
      <c r="X594" s="32"/>
    </row>
    <row r="595">
      <c r="A595" s="67"/>
      <c r="B595" s="81"/>
      <c r="C595" s="79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32"/>
      <c r="S595" s="32"/>
      <c r="T595" s="32"/>
      <c r="U595" s="32"/>
      <c r="V595" s="32"/>
      <c r="W595" s="32"/>
      <c r="X595" s="32"/>
    </row>
    <row r="596">
      <c r="A596" s="67"/>
      <c r="B596" s="81"/>
      <c r="C596" s="79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32"/>
      <c r="S596" s="32"/>
      <c r="T596" s="32"/>
      <c r="U596" s="32"/>
      <c r="V596" s="32"/>
      <c r="W596" s="32"/>
      <c r="X596" s="32"/>
    </row>
    <row r="597">
      <c r="A597" s="67"/>
      <c r="B597" s="81"/>
      <c r="C597" s="79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32"/>
      <c r="S597" s="32"/>
      <c r="T597" s="32"/>
      <c r="U597" s="32"/>
      <c r="V597" s="32"/>
      <c r="W597" s="32"/>
      <c r="X597" s="32"/>
    </row>
    <row r="598">
      <c r="A598" s="67"/>
      <c r="B598" s="81"/>
      <c r="C598" s="79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32"/>
      <c r="S598" s="32"/>
      <c r="T598" s="32"/>
      <c r="U598" s="32"/>
      <c r="V598" s="32"/>
      <c r="W598" s="32"/>
      <c r="X598" s="32"/>
    </row>
    <row r="599">
      <c r="A599" s="67"/>
      <c r="B599" s="81"/>
      <c r="C599" s="79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32"/>
      <c r="S599" s="32"/>
      <c r="T599" s="32"/>
      <c r="U599" s="32"/>
      <c r="V599" s="32"/>
      <c r="W599" s="32"/>
      <c r="X599" s="32"/>
    </row>
    <row r="600">
      <c r="A600" s="67"/>
      <c r="B600" s="81"/>
      <c r="C600" s="79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32"/>
      <c r="S600" s="32"/>
      <c r="T600" s="32"/>
      <c r="U600" s="32"/>
      <c r="V600" s="32"/>
      <c r="W600" s="32"/>
      <c r="X600" s="32"/>
    </row>
    <row r="601">
      <c r="A601" s="67"/>
      <c r="B601" s="81"/>
      <c r="C601" s="79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32"/>
      <c r="S601" s="32"/>
      <c r="T601" s="32"/>
      <c r="U601" s="32"/>
      <c r="V601" s="32"/>
      <c r="W601" s="32"/>
      <c r="X601" s="32"/>
    </row>
    <row r="602">
      <c r="A602" s="67"/>
      <c r="B602" s="81"/>
      <c r="C602" s="79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32"/>
      <c r="S602" s="32"/>
      <c r="T602" s="32"/>
      <c r="U602" s="32"/>
      <c r="V602" s="32"/>
      <c r="W602" s="32"/>
      <c r="X602" s="32"/>
    </row>
    <row r="603">
      <c r="A603" s="67"/>
      <c r="B603" s="81"/>
      <c r="C603" s="79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32"/>
      <c r="S603" s="32"/>
      <c r="T603" s="32"/>
      <c r="U603" s="32"/>
      <c r="V603" s="32"/>
      <c r="W603" s="32"/>
      <c r="X603" s="32"/>
    </row>
    <row r="604">
      <c r="A604" s="67"/>
      <c r="B604" s="81"/>
      <c r="C604" s="79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32"/>
      <c r="S604" s="32"/>
      <c r="T604" s="32"/>
      <c r="U604" s="32"/>
      <c r="V604" s="32"/>
      <c r="W604" s="32"/>
      <c r="X604" s="32"/>
    </row>
    <row r="605">
      <c r="A605" s="67"/>
      <c r="B605" s="81"/>
      <c r="C605" s="79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32"/>
      <c r="S605" s="32"/>
      <c r="T605" s="32"/>
      <c r="U605" s="32"/>
      <c r="V605" s="32"/>
      <c r="W605" s="32"/>
      <c r="X605" s="32"/>
    </row>
    <row r="606">
      <c r="A606" s="67"/>
      <c r="B606" s="81"/>
      <c r="C606" s="79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32"/>
      <c r="S606" s="32"/>
      <c r="T606" s="32"/>
      <c r="U606" s="32"/>
      <c r="V606" s="32"/>
      <c r="W606" s="32"/>
      <c r="X606" s="32"/>
    </row>
    <row r="607">
      <c r="A607" s="67"/>
      <c r="B607" s="81"/>
      <c r="C607" s="79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32"/>
      <c r="S607" s="32"/>
      <c r="T607" s="32"/>
      <c r="U607" s="32"/>
      <c r="V607" s="32"/>
      <c r="W607" s="32"/>
      <c r="X607" s="32"/>
    </row>
    <row r="608">
      <c r="A608" s="67"/>
      <c r="B608" s="81"/>
      <c r="C608" s="79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32"/>
      <c r="S608" s="32"/>
      <c r="T608" s="32"/>
      <c r="U608" s="32"/>
      <c r="V608" s="32"/>
      <c r="W608" s="32"/>
      <c r="X608" s="32"/>
    </row>
    <row r="609">
      <c r="A609" s="67"/>
      <c r="B609" s="81"/>
      <c r="C609" s="79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32"/>
      <c r="S609" s="32"/>
      <c r="T609" s="32"/>
      <c r="U609" s="32"/>
      <c r="V609" s="32"/>
      <c r="W609" s="32"/>
      <c r="X609" s="32"/>
    </row>
    <row r="610">
      <c r="A610" s="67"/>
      <c r="B610" s="81"/>
      <c r="C610" s="79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32"/>
      <c r="S610" s="32"/>
      <c r="T610" s="32"/>
      <c r="U610" s="32"/>
      <c r="V610" s="32"/>
      <c r="W610" s="32"/>
      <c r="X610" s="32"/>
    </row>
    <row r="611">
      <c r="A611" s="67"/>
      <c r="B611" s="81"/>
      <c r="C611" s="79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32"/>
      <c r="S611" s="32"/>
      <c r="T611" s="32"/>
      <c r="U611" s="32"/>
      <c r="V611" s="32"/>
      <c r="W611" s="32"/>
      <c r="X611" s="32"/>
    </row>
    <row r="612">
      <c r="A612" s="67"/>
      <c r="B612" s="81"/>
      <c r="C612" s="79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32"/>
      <c r="S612" s="32"/>
      <c r="T612" s="32"/>
      <c r="U612" s="32"/>
      <c r="V612" s="32"/>
      <c r="W612" s="32"/>
      <c r="X612" s="32"/>
    </row>
    <row r="613">
      <c r="A613" s="67"/>
      <c r="B613" s="81"/>
      <c r="C613" s="79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32"/>
      <c r="S613" s="32"/>
      <c r="T613" s="32"/>
      <c r="U613" s="32"/>
      <c r="V613" s="32"/>
      <c r="W613" s="32"/>
      <c r="X613" s="32"/>
    </row>
    <row r="614">
      <c r="A614" s="67"/>
      <c r="B614" s="81"/>
      <c r="C614" s="79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32"/>
      <c r="S614" s="32"/>
      <c r="T614" s="32"/>
      <c r="U614" s="32"/>
      <c r="V614" s="32"/>
      <c r="W614" s="32"/>
      <c r="X614" s="32"/>
    </row>
    <row r="615">
      <c r="A615" s="67"/>
      <c r="B615" s="81"/>
      <c r="C615" s="79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32"/>
      <c r="S615" s="32"/>
      <c r="T615" s="32"/>
      <c r="U615" s="32"/>
      <c r="V615" s="32"/>
      <c r="W615" s="32"/>
      <c r="X615" s="32"/>
    </row>
    <row r="616">
      <c r="A616" s="67"/>
      <c r="B616" s="81"/>
      <c r="C616" s="79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32"/>
      <c r="S616" s="32"/>
      <c r="T616" s="32"/>
      <c r="U616" s="32"/>
      <c r="V616" s="32"/>
      <c r="W616" s="32"/>
      <c r="X616" s="32"/>
    </row>
    <row r="617">
      <c r="A617" s="67"/>
      <c r="B617" s="81"/>
      <c r="C617" s="79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32"/>
      <c r="S617" s="32"/>
      <c r="T617" s="32"/>
      <c r="U617" s="32"/>
      <c r="V617" s="32"/>
      <c r="W617" s="32"/>
      <c r="X617" s="32"/>
    </row>
    <row r="618">
      <c r="A618" s="67"/>
      <c r="B618" s="81"/>
      <c r="C618" s="79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32"/>
      <c r="S618" s="32"/>
      <c r="T618" s="32"/>
      <c r="U618" s="32"/>
      <c r="V618" s="32"/>
      <c r="W618" s="32"/>
      <c r="X618" s="32"/>
    </row>
    <row r="619">
      <c r="A619" s="67"/>
      <c r="B619" s="81"/>
      <c r="C619" s="79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32"/>
      <c r="S619" s="32"/>
      <c r="T619" s="32"/>
      <c r="U619" s="32"/>
      <c r="V619" s="32"/>
      <c r="W619" s="32"/>
      <c r="X619" s="32"/>
    </row>
    <row r="620">
      <c r="A620" s="67"/>
      <c r="B620" s="81"/>
      <c r="C620" s="79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32"/>
      <c r="S620" s="32"/>
      <c r="T620" s="32"/>
      <c r="U620" s="32"/>
      <c r="V620" s="32"/>
      <c r="W620" s="32"/>
      <c r="X620" s="32"/>
    </row>
    <row r="621">
      <c r="A621" s="67"/>
      <c r="B621" s="81"/>
      <c r="C621" s="79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32"/>
      <c r="S621" s="32"/>
      <c r="T621" s="32"/>
      <c r="U621" s="32"/>
      <c r="V621" s="32"/>
      <c r="W621" s="32"/>
      <c r="X621" s="32"/>
    </row>
    <row r="622">
      <c r="A622" s="67"/>
      <c r="B622" s="81"/>
      <c r="C622" s="79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32"/>
      <c r="S622" s="32"/>
      <c r="T622" s="32"/>
      <c r="U622" s="32"/>
      <c r="V622" s="32"/>
      <c r="W622" s="32"/>
      <c r="X622" s="32"/>
    </row>
    <row r="623">
      <c r="A623" s="67"/>
      <c r="B623" s="81"/>
      <c r="C623" s="79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32"/>
      <c r="S623" s="32"/>
      <c r="T623" s="32"/>
      <c r="U623" s="32"/>
      <c r="V623" s="32"/>
      <c r="W623" s="32"/>
      <c r="X623" s="32"/>
    </row>
    <row r="624">
      <c r="A624" s="67"/>
      <c r="B624" s="81"/>
      <c r="C624" s="79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32"/>
      <c r="S624" s="32"/>
      <c r="T624" s="32"/>
      <c r="U624" s="32"/>
      <c r="V624" s="32"/>
      <c r="W624" s="32"/>
      <c r="X624" s="32"/>
    </row>
    <row r="625">
      <c r="A625" s="67"/>
      <c r="B625" s="81"/>
      <c r="C625" s="79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32"/>
      <c r="S625" s="32"/>
      <c r="T625" s="32"/>
      <c r="U625" s="32"/>
      <c r="V625" s="32"/>
      <c r="W625" s="32"/>
      <c r="X625" s="32"/>
    </row>
    <row r="626">
      <c r="A626" s="67"/>
      <c r="B626" s="81"/>
      <c r="C626" s="79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32"/>
      <c r="S626" s="32"/>
      <c r="T626" s="32"/>
      <c r="U626" s="32"/>
      <c r="V626" s="32"/>
      <c r="W626" s="32"/>
      <c r="X626" s="32"/>
    </row>
    <row r="627">
      <c r="A627" s="67"/>
      <c r="B627" s="81"/>
      <c r="C627" s="79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32"/>
      <c r="S627" s="32"/>
      <c r="T627" s="32"/>
      <c r="U627" s="32"/>
      <c r="V627" s="32"/>
      <c r="W627" s="32"/>
      <c r="X627" s="32"/>
    </row>
    <row r="628">
      <c r="A628" s="67"/>
      <c r="B628" s="81"/>
      <c r="C628" s="79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32"/>
      <c r="S628" s="32"/>
      <c r="T628" s="32"/>
      <c r="U628" s="32"/>
      <c r="V628" s="32"/>
      <c r="W628" s="32"/>
      <c r="X628" s="32"/>
    </row>
    <row r="629">
      <c r="A629" s="67"/>
      <c r="B629" s="81"/>
      <c r="C629" s="79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32"/>
      <c r="S629" s="32"/>
      <c r="T629" s="32"/>
      <c r="U629" s="32"/>
      <c r="V629" s="32"/>
      <c r="W629" s="32"/>
      <c r="X629" s="32"/>
    </row>
    <row r="630">
      <c r="A630" s="67"/>
      <c r="B630" s="81"/>
      <c r="C630" s="79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32"/>
      <c r="S630" s="32"/>
      <c r="T630" s="32"/>
      <c r="U630" s="32"/>
      <c r="V630" s="32"/>
      <c r="W630" s="32"/>
      <c r="X630" s="32"/>
    </row>
    <row r="631">
      <c r="A631" s="67"/>
      <c r="B631" s="81"/>
      <c r="C631" s="79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32"/>
      <c r="S631" s="32"/>
      <c r="T631" s="32"/>
      <c r="U631" s="32"/>
      <c r="V631" s="32"/>
      <c r="W631" s="32"/>
      <c r="X631" s="32"/>
    </row>
    <row r="632">
      <c r="A632" s="67"/>
      <c r="B632" s="81"/>
      <c r="C632" s="79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32"/>
      <c r="S632" s="32"/>
      <c r="T632" s="32"/>
      <c r="U632" s="32"/>
      <c r="V632" s="32"/>
      <c r="W632" s="32"/>
      <c r="X632" s="32"/>
    </row>
    <row r="633">
      <c r="A633" s="67"/>
      <c r="B633" s="81"/>
      <c r="C633" s="79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32"/>
      <c r="S633" s="32"/>
      <c r="T633" s="32"/>
      <c r="U633" s="32"/>
      <c r="V633" s="32"/>
      <c r="W633" s="32"/>
      <c r="X633" s="32"/>
    </row>
    <row r="634">
      <c r="A634" s="67"/>
      <c r="B634" s="81"/>
      <c r="C634" s="79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32"/>
      <c r="S634" s="32"/>
      <c r="T634" s="32"/>
      <c r="U634" s="32"/>
      <c r="V634" s="32"/>
      <c r="W634" s="32"/>
      <c r="X634" s="32"/>
    </row>
    <row r="635">
      <c r="A635" s="67"/>
      <c r="B635" s="81"/>
      <c r="C635" s="79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32"/>
      <c r="S635" s="32"/>
      <c r="T635" s="32"/>
      <c r="U635" s="32"/>
      <c r="V635" s="32"/>
      <c r="W635" s="32"/>
      <c r="X635" s="32"/>
    </row>
    <row r="636">
      <c r="A636" s="67"/>
      <c r="B636" s="81"/>
      <c r="C636" s="79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32"/>
      <c r="S636" s="32"/>
      <c r="T636" s="32"/>
      <c r="U636" s="32"/>
      <c r="V636" s="32"/>
      <c r="W636" s="32"/>
      <c r="X636" s="32"/>
    </row>
    <row r="637">
      <c r="A637" s="67"/>
      <c r="B637" s="81"/>
      <c r="C637" s="79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32"/>
      <c r="S637" s="32"/>
      <c r="T637" s="32"/>
      <c r="U637" s="32"/>
      <c r="V637" s="32"/>
      <c r="W637" s="32"/>
      <c r="X637" s="32"/>
    </row>
    <row r="638">
      <c r="A638" s="67"/>
      <c r="B638" s="81"/>
      <c r="C638" s="79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32"/>
      <c r="S638" s="32"/>
      <c r="T638" s="32"/>
      <c r="U638" s="32"/>
      <c r="V638" s="32"/>
      <c r="W638" s="32"/>
      <c r="X638" s="32"/>
    </row>
    <row r="639">
      <c r="A639" s="67"/>
      <c r="B639" s="81"/>
      <c r="C639" s="79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32"/>
      <c r="S639" s="32"/>
      <c r="T639" s="32"/>
      <c r="U639" s="32"/>
      <c r="V639" s="32"/>
      <c r="W639" s="32"/>
      <c r="X639" s="32"/>
    </row>
    <row r="640">
      <c r="A640" s="67"/>
      <c r="B640" s="81"/>
      <c r="C640" s="79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32"/>
      <c r="S640" s="32"/>
      <c r="T640" s="32"/>
      <c r="U640" s="32"/>
      <c r="V640" s="32"/>
      <c r="W640" s="32"/>
      <c r="X640" s="32"/>
    </row>
    <row r="641">
      <c r="A641" s="67"/>
      <c r="B641" s="81"/>
      <c r="C641" s="79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32"/>
      <c r="S641" s="32"/>
      <c r="T641" s="32"/>
      <c r="U641" s="32"/>
      <c r="V641" s="32"/>
      <c r="W641" s="32"/>
      <c r="X641" s="32"/>
    </row>
    <row r="642">
      <c r="A642" s="67"/>
      <c r="B642" s="81"/>
      <c r="C642" s="79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32"/>
      <c r="S642" s="32"/>
      <c r="T642" s="32"/>
      <c r="U642" s="32"/>
      <c r="V642" s="32"/>
      <c r="W642" s="32"/>
      <c r="X642" s="32"/>
    </row>
    <row r="643">
      <c r="A643" s="67"/>
      <c r="B643" s="81"/>
      <c r="C643" s="79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32"/>
      <c r="S643" s="32"/>
      <c r="T643" s="32"/>
      <c r="U643" s="32"/>
      <c r="V643" s="32"/>
      <c r="W643" s="32"/>
      <c r="X643" s="32"/>
    </row>
    <row r="644">
      <c r="A644" s="67"/>
      <c r="B644" s="81"/>
      <c r="C644" s="79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32"/>
      <c r="S644" s="32"/>
      <c r="T644" s="32"/>
      <c r="U644" s="32"/>
      <c r="V644" s="32"/>
      <c r="W644" s="32"/>
      <c r="X644" s="32"/>
    </row>
    <row r="645">
      <c r="A645" s="67"/>
      <c r="B645" s="81"/>
      <c r="C645" s="79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32"/>
      <c r="S645" s="32"/>
      <c r="T645" s="32"/>
      <c r="U645" s="32"/>
      <c r="V645" s="32"/>
      <c r="W645" s="32"/>
      <c r="X645" s="32"/>
    </row>
    <row r="646">
      <c r="A646" s="67"/>
      <c r="B646" s="81"/>
      <c r="C646" s="79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32"/>
      <c r="S646" s="32"/>
      <c r="T646" s="32"/>
      <c r="U646" s="32"/>
      <c r="V646" s="32"/>
      <c r="W646" s="32"/>
      <c r="X646" s="32"/>
    </row>
    <row r="647">
      <c r="A647" s="67"/>
      <c r="B647" s="81"/>
      <c r="C647" s="79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32"/>
      <c r="S647" s="32"/>
      <c r="T647" s="32"/>
      <c r="U647" s="32"/>
      <c r="V647" s="32"/>
      <c r="W647" s="32"/>
      <c r="X647" s="32"/>
    </row>
    <row r="648">
      <c r="A648" s="67"/>
      <c r="B648" s="81"/>
      <c r="C648" s="79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32"/>
      <c r="S648" s="32"/>
      <c r="T648" s="32"/>
      <c r="U648" s="32"/>
      <c r="V648" s="32"/>
      <c r="W648" s="32"/>
      <c r="X648" s="32"/>
    </row>
    <row r="649">
      <c r="A649" s="67"/>
      <c r="B649" s="81"/>
      <c r="C649" s="79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32"/>
      <c r="S649" s="32"/>
      <c r="T649" s="32"/>
      <c r="U649" s="32"/>
      <c r="V649" s="32"/>
      <c r="W649" s="32"/>
      <c r="X649" s="32"/>
    </row>
    <row r="650">
      <c r="A650" s="67"/>
      <c r="B650" s="81"/>
      <c r="C650" s="79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32"/>
      <c r="S650" s="32"/>
      <c r="T650" s="32"/>
      <c r="U650" s="32"/>
      <c r="V650" s="32"/>
      <c r="W650" s="32"/>
      <c r="X650" s="32"/>
    </row>
    <row r="651">
      <c r="A651" s="67"/>
      <c r="B651" s="81"/>
      <c r="C651" s="79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32"/>
      <c r="S651" s="32"/>
      <c r="T651" s="32"/>
      <c r="U651" s="32"/>
      <c r="V651" s="32"/>
      <c r="W651" s="32"/>
      <c r="X651" s="32"/>
    </row>
    <row r="652">
      <c r="A652" s="67"/>
      <c r="B652" s="81"/>
      <c r="C652" s="79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32"/>
      <c r="S652" s="32"/>
      <c r="T652" s="32"/>
      <c r="U652" s="32"/>
      <c r="V652" s="32"/>
      <c r="W652" s="32"/>
      <c r="X652" s="32"/>
    </row>
    <row r="653">
      <c r="A653" s="67"/>
      <c r="B653" s="81"/>
      <c r="C653" s="79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32"/>
      <c r="S653" s="32"/>
      <c r="T653" s="32"/>
      <c r="U653" s="32"/>
      <c r="V653" s="32"/>
      <c r="W653" s="32"/>
      <c r="X653" s="32"/>
    </row>
    <row r="654">
      <c r="A654" s="67"/>
      <c r="B654" s="81"/>
      <c r="C654" s="79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32"/>
      <c r="S654" s="32"/>
      <c r="T654" s="32"/>
      <c r="U654" s="32"/>
      <c r="V654" s="32"/>
      <c r="W654" s="32"/>
      <c r="X654" s="32"/>
    </row>
    <row r="655">
      <c r="A655" s="67"/>
      <c r="B655" s="81"/>
      <c r="C655" s="79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32"/>
      <c r="S655" s="32"/>
      <c r="T655" s="32"/>
      <c r="U655" s="32"/>
      <c r="V655" s="32"/>
      <c r="W655" s="32"/>
      <c r="X655" s="32"/>
    </row>
    <row r="656">
      <c r="A656" s="67"/>
      <c r="B656" s="81"/>
      <c r="C656" s="79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32"/>
      <c r="S656" s="32"/>
      <c r="T656" s="32"/>
      <c r="U656" s="32"/>
      <c r="V656" s="32"/>
      <c r="W656" s="32"/>
      <c r="X656" s="32"/>
    </row>
    <row r="657">
      <c r="A657" s="67"/>
      <c r="B657" s="81"/>
      <c r="C657" s="79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32"/>
      <c r="S657" s="32"/>
      <c r="T657" s="32"/>
      <c r="U657" s="32"/>
      <c r="V657" s="32"/>
      <c r="W657" s="32"/>
      <c r="X657" s="32"/>
    </row>
    <row r="658">
      <c r="A658" s="67"/>
      <c r="B658" s="81"/>
      <c r="C658" s="79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32"/>
      <c r="S658" s="32"/>
      <c r="T658" s="32"/>
      <c r="U658" s="32"/>
      <c r="V658" s="32"/>
      <c r="W658" s="32"/>
      <c r="X658" s="32"/>
    </row>
    <row r="659">
      <c r="A659" s="67"/>
      <c r="B659" s="81"/>
      <c r="C659" s="79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32"/>
      <c r="S659" s="32"/>
      <c r="T659" s="32"/>
      <c r="U659" s="32"/>
      <c r="V659" s="32"/>
      <c r="W659" s="32"/>
      <c r="X659" s="32"/>
    </row>
    <row r="660">
      <c r="A660" s="67"/>
      <c r="B660" s="81"/>
      <c r="C660" s="79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32"/>
      <c r="S660" s="32"/>
      <c r="T660" s="32"/>
      <c r="U660" s="32"/>
      <c r="V660" s="32"/>
      <c r="W660" s="32"/>
      <c r="X660" s="32"/>
    </row>
    <row r="661">
      <c r="A661" s="67"/>
      <c r="B661" s="81"/>
      <c r="C661" s="79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32"/>
      <c r="S661" s="32"/>
      <c r="T661" s="32"/>
      <c r="U661" s="32"/>
      <c r="V661" s="32"/>
      <c r="W661" s="32"/>
      <c r="X661" s="32"/>
    </row>
    <row r="662">
      <c r="A662" s="67"/>
      <c r="B662" s="81"/>
      <c r="C662" s="79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32"/>
      <c r="S662" s="32"/>
      <c r="T662" s="32"/>
      <c r="U662" s="32"/>
      <c r="V662" s="32"/>
      <c r="W662" s="32"/>
      <c r="X662" s="32"/>
    </row>
    <row r="663">
      <c r="A663" s="67"/>
      <c r="B663" s="81"/>
      <c r="C663" s="79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32"/>
      <c r="S663" s="32"/>
      <c r="T663" s="32"/>
      <c r="U663" s="32"/>
      <c r="V663" s="32"/>
      <c r="W663" s="32"/>
      <c r="X663" s="32"/>
    </row>
    <row r="664">
      <c r="A664" s="67"/>
      <c r="B664" s="81"/>
      <c r="C664" s="79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32"/>
      <c r="S664" s="32"/>
      <c r="T664" s="32"/>
      <c r="U664" s="32"/>
      <c r="V664" s="32"/>
      <c r="W664" s="32"/>
      <c r="X664" s="32"/>
    </row>
    <row r="665">
      <c r="A665" s="67"/>
      <c r="B665" s="81"/>
      <c r="C665" s="79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32"/>
      <c r="S665" s="32"/>
      <c r="T665" s="32"/>
      <c r="U665" s="32"/>
      <c r="V665" s="32"/>
      <c r="W665" s="32"/>
      <c r="X665" s="32"/>
    </row>
    <row r="666">
      <c r="A666" s="67"/>
      <c r="B666" s="81"/>
      <c r="C666" s="79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32"/>
      <c r="S666" s="32"/>
      <c r="T666" s="32"/>
      <c r="U666" s="32"/>
      <c r="V666" s="32"/>
      <c r="W666" s="32"/>
      <c r="X666" s="32"/>
    </row>
    <row r="667">
      <c r="A667" s="67"/>
      <c r="B667" s="81"/>
      <c r="C667" s="79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32"/>
      <c r="S667" s="32"/>
      <c r="T667" s="32"/>
      <c r="U667" s="32"/>
      <c r="V667" s="32"/>
      <c r="W667" s="32"/>
      <c r="X667" s="32"/>
    </row>
    <row r="668">
      <c r="A668" s="67"/>
      <c r="B668" s="81"/>
      <c r="C668" s="79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32"/>
      <c r="S668" s="32"/>
      <c r="T668" s="32"/>
      <c r="U668" s="32"/>
      <c r="V668" s="32"/>
      <c r="W668" s="32"/>
      <c r="X668" s="32"/>
    </row>
    <row r="669">
      <c r="A669" s="67"/>
      <c r="B669" s="81"/>
      <c r="C669" s="79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32"/>
      <c r="S669" s="32"/>
      <c r="T669" s="32"/>
      <c r="U669" s="32"/>
      <c r="V669" s="32"/>
      <c r="W669" s="32"/>
      <c r="X669" s="32"/>
    </row>
    <row r="670">
      <c r="A670" s="67"/>
      <c r="B670" s="81"/>
      <c r="C670" s="79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32"/>
      <c r="S670" s="32"/>
      <c r="T670" s="32"/>
      <c r="U670" s="32"/>
      <c r="V670" s="32"/>
      <c r="W670" s="32"/>
      <c r="X670" s="32"/>
    </row>
    <row r="671">
      <c r="A671" s="67"/>
      <c r="B671" s="81"/>
      <c r="C671" s="79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32"/>
      <c r="S671" s="32"/>
      <c r="T671" s="32"/>
      <c r="U671" s="32"/>
      <c r="V671" s="32"/>
      <c r="W671" s="32"/>
      <c r="X671" s="32"/>
    </row>
    <row r="672">
      <c r="A672" s="67"/>
      <c r="B672" s="81"/>
      <c r="C672" s="79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32"/>
      <c r="S672" s="32"/>
      <c r="T672" s="32"/>
      <c r="U672" s="32"/>
      <c r="V672" s="32"/>
      <c r="W672" s="32"/>
      <c r="X672" s="32"/>
    </row>
    <row r="673">
      <c r="A673" s="67"/>
      <c r="B673" s="81"/>
      <c r="C673" s="79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32"/>
      <c r="S673" s="32"/>
      <c r="T673" s="32"/>
      <c r="U673" s="32"/>
      <c r="V673" s="32"/>
      <c r="W673" s="32"/>
      <c r="X673" s="32"/>
    </row>
    <row r="674">
      <c r="A674" s="67"/>
      <c r="B674" s="81"/>
      <c r="C674" s="79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32"/>
      <c r="S674" s="32"/>
      <c r="T674" s="32"/>
      <c r="U674" s="32"/>
      <c r="V674" s="32"/>
      <c r="W674" s="32"/>
      <c r="X674" s="32"/>
    </row>
    <row r="675">
      <c r="A675" s="67"/>
      <c r="B675" s="81"/>
      <c r="C675" s="79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32"/>
      <c r="S675" s="32"/>
      <c r="T675" s="32"/>
      <c r="U675" s="32"/>
      <c r="V675" s="32"/>
      <c r="W675" s="32"/>
      <c r="X675" s="32"/>
    </row>
    <row r="676">
      <c r="A676" s="67"/>
      <c r="B676" s="81"/>
      <c r="C676" s="79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32"/>
      <c r="S676" s="32"/>
      <c r="T676" s="32"/>
      <c r="U676" s="32"/>
      <c r="V676" s="32"/>
      <c r="W676" s="32"/>
      <c r="X676" s="32"/>
    </row>
    <row r="677">
      <c r="A677" s="67"/>
      <c r="B677" s="81"/>
      <c r="C677" s="79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32"/>
      <c r="S677" s="32"/>
      <c r="T677" s="32"/>
      <c r="U677" s="32"/>
      <c r="V677" s="32"/>
      <c r="W677" s="32"/>
      <c r="X677" s="32"/>
    </row>
    <row r="678">
      <c r="A678" s="67"/>
      <c r="B678" s="81"/>
      <c r="C678" s="79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32"/>
      <c r="S678" s="32"/>
      <c r="T678" s="32"/>
      <c r="U678" s="32"/>
      <c r="V678" s="32"/>
      <c r="W678" s="32"/>
      <c r="X678" s="32"/>
    </row>
    <row r="679">
      <c r="A679" s="67"/>
      <c r="B679" s="81"/>
      <c r="C679" s="79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32"/>
      <c r="S679" s="32"/>
      <c r="T679" s="32"/>
      <c r="U679" s="32"/>
      <c r="V679" s="32"/>
      <c r="W679" s="32"/>
      <c r="X679" s="32"/>
    </row>
    <row r="680">
      <c r="A680" s="67"/>
      <c r="B680" s="81"/>
      <c r="C680" s="79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32"/>
      <c r="S680" s="32"/>
      <c r="T680" s="32"/>
      <c r="U680" s="32"/>
      <c r="V680" s="32"/>
      <c r="W680" s="32"/>
      <c r="X680" s="32"/>
    </row>
    <row r="681">
      <c r="A681" s="67"/>
      <c r="B681" s="81"/>
      <c r="C681" s="79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32"/>
      <c r="S681" s="32"/>
      <c r="T681" s="32"/>
      <c r="U681" s="32"/>
      <c r="V681" s="32"/>
      <c r="W681" s="32"/>
      <c r="X681" s="32"/>
    </row>
    <row r="682">
      <c r="A682" s="67"/>
      <c r="B682" s="81"/>
      <c r="C682" s="79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32"/>
      <c r="S682" s="32"/>
      <c r="T682" s="32"/>
      <c r="U682" s="32"/>
      <c r="V682" s="32"/>
      <c r="W682" s="32"/>
      <c r="X682" s="32"/>
    </row>
    <row r="683">
      <c r="A683" s="67"/>
      <c r="B683" s="81"/>
      <c r="C683" s="79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32"/>
      <c r="S683" s="32"/>
      <c r="T683" s="32"/>
      <c r="U683" s="32"/>
      <c r="V683" s="32"/>
      <c r="W683" s="32"/>
      <c r="X683" s="32"/>
    </row>
    <row r="684">
      <c r="A684" s="67"/>
      <c r="B684" s="81"/>
      <c r="C684" s="79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32"/>
      <c r="S684" s="32"/>
      <c r="T684" s="32"/>
      <c r="U684" s="32"/>
      <c r="V684" s="32"/>
      <c r="W684" s="32"/>
      <c r="X684" s="32"/>
    </row>
    <row r="685">
      <c r="A685" s="67"/>
      <c r="B685" s="81"/>
      <c r="C685" s="79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32"/>
      <c r="S685" s="32"/>
      <c r="T685" s="32"/>
      <c r="U685" s="32"/>
      <c r="V685" s="32"/>
      <c r="W685" s="32"/>
      <c r="X685" s="32"/>
    </row>
    <row r="686">
      <c r="A686" s="67"/>
      <c r="B686" s="81"/>
      <c r="C686" s="79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32"/>
      <c r="S686" s="32"/>
      <c r="T686" s="32"/>
      <c r="U686" s="32"/>
      <c r="V686" s="32"/>
      <c r="W686" s="32"/>
      <c r="X686" s="32"/>
    </row>
    <row r="687">
      <c r="A687" s="67"/>
      <c r="B687" s="81"/>
      <c r="C687" s="79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32"/>
      <c r="S687" s="32"/>
      <c r="T687" s="32"/>
      <c r="U687" s="32"/>
      <c r="V687" s="32"/>
      <c r="W687" s="32"/>
      <c r="X687" s="32"/>
    </row>
    <row r="688">
      <c r="A688" s="67"/>
      <c r="B688" s="81"/>
      <c r="C688" s="79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32"/>
      <c r="S688" s="32"/>
      <c r="T688" s="32"/>
      <c r="U688" s="32"/>
      <c r="V688" s="32"/>
      <c r="W688" s="32"/>
      <c r="X688" s="32"/>
    </row>
    <row r="689">
      <c r="A689" s="67"/>
      <c r="B689" s="81"/>
      <c r="C689" s="79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32"/>
      <c r="S689" s="32"/>
      <c r="T689" s="32"/>
      <c r="U689" s="32"/>
      <c r="V689" s="32"/>
      <c r="W689" s="32"/>
      <c r="X689" s="32"/>
    </row>
    <row r="690">
      <c r="A690" s="67"/>
      <c r="B690" s="81"/>
      <c r="C690" s="79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32"/>
      <c r="S690" s="32"/>
      <c r="T690" s="32"/>
      <c r="U690" s="32"/>
      <c r="V690" s="32"/>
      <c r="W690" s="32"/>
      <c r="X690" s="32"/>
    </row>
    <row r="691">
      <c r="A691" s="67"/>
      <c r="B691" s="81"/>
      <c r="C691" s="79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32"/>
      <c r="S691" s="32"/>
      <c r="T691" s="32"/>
      <c r="U691" s="32"/>
      <c r="V691" s="32"/>
      <c r="W691" s="32"/>
      <c r="X691" s="32"/>
    </row>
    <row r="692">
      <c r="A692" s="67"/>
      <c r="B692" s="81"/>
      <c r="C692" s="79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32"/>
      <c r="S692" s="32"/>
      <c r="T692" s="32"/>
      <c r="U692" s="32"/>
      <c r="V692" s="32"/>
      <c r="W692" s="32"/>
      <c r="X692" s="32"/>
    </row>
    <row r="693">
      <c r="A693" s="67"/>
      <c r="B693" s="81"/>
      <c r="C693" s="79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32"/>
      <c r="S693" s="32"/>
      <c r="T693" s="32"/>
      <c r="U693" s="32"/>
      <c r="V693" s="32"/>
      <c r="W693" s="32"/>
      <c r="X693" s="32"/>
    </row>
    <row r="694">
      <c r="A694" s="67"/>
      <c r="B694" s="81"/>
      <c r="C694" s="79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32"/>
      <c r="S694" s="32"/>
      <c r="T694" s="32"/>
      <c r="U694" s="32"/>
      <c r="V694" s="32"/>
      <c r="W694" s="32"/>
      <c r="X694" s="32"/>
    </row>
    <row r="695">
      <c r="A695" s="67"/>
      <c r="B695" s="81"/>
      <c r="C695" s="79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32"/>
      <c r="S695" s="32"/>
      <c r="T695" s="32"/>
      <c r="U695" s="32"/>
      <c r="V695" s="32"/>
      <c r="W695" s="32"/>
      <c r="X695" s="32"/>
    </row>
    <row r="696">
      <c r="A696" s="67"/>
      <c r="B696" s="81"/>
      <c r="C696" s="79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32"/>
      <c r="S696" s="32"/>
      <c r="T696" s="32"/>
      <c r="U696" s="32"/>
      <c r="V696" s="32"/>
      <c r="W696" s="32"/>
      <c r="X696" s="32"/>
    </row>
    <row r="697">
      <c r="A697" s="67"/>
      <c r="B697" s="81"/>
      <c r="C697" s="79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32"/>
      <c r="S697" s="32"/>
      <c r="T697" s="32"/>
      <c r="U697" s="32"/>
      <c r="V697" s="32"/>
      <c r="W697" s="32"/>
      <c r="X697" s="32"/>
    </row>
    <row r="698">
      <c r="A698" s="67"/>
      <c r="B698" s="81"/>
      <c r="C698" s="79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32"/>
      <c r="S698" s="32"/>
      <c r="T698" s="32"/>
      <c r="U698" s="32"/>
      <c r="V698" s="32"/>
      <c r="W698" s="32"/>
      <c r="X698" s="32"/>
    </row>
    <row r="699">
      <c r="A699" s="67"/>
      <c r="B699" s="81"/>
      <c r="C699" s="79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32"/>
      <c r="S699" s="32"/>
      <c r="T699" s="32"/>
      <c r="U699" s="32"/>
      <c r="V699" s="32"/>
      <c r="W699" s="32"/>
      <c r="X699" s="32"/>
    </row>
    <row r="700">
      <c r="A700" s="67"/>
      <c r="B700" s="81"/>
      <c r="C700" s="79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32"/>
      <c r="S700" s="32"/>
      <c r="T700" s="32"/>
      <c r="U700" s="32"/>
      <c r="V700" s="32"/>
      <c r="W700" s="32"/>
      <c r="X700" s="32"/>
    </row>
    <row r="701">
      <c r="A701" s="67"/>
      <c r="B701" s="81"/>
      <c r="C701" s="79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32"/>
      <c r="S701" s="32"/>
      <c r="T701" s="32"/>
      <c r="U701" s="32"/>
      <c r="V701" s="32"/>
      <c r="W701" s="32"/>
      <c r="X701" s="32"/>
    </row>
    <row r="702">
      <c r="A702" s="67"/>
      <c r="B702" s="81"/>
      <c r="C702" s="79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32"/>
      <c r="S702" s="32"/>
      <c r="T702" s="32"/>
      <c r="U702" s="32"/>
      <c r="V702" s="32"/>
      <c r="W702" s="32"/>
      <c r="X702" s="32"/>
    </row>
    <row r="703">
      <c r="A703" s="67"/>
      <c r="B703" s="81"/>
      <c r="C703" s="79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32"/>
      <c r="S703" s="32"/>
      <c r="T703" s="32"/>
      <c r="U703" s="32"/>
      <c r="V703" s="32"/>
      <c r="W703" s="32"/>
      <c r="X703" s="32"/>
    </row>
    <row r="704">
      <c r="A704" s="67"/>
      <c r="B704" s="81"/>
      <c r="C704" s="79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32"/>
      <c r="S704" s="32"/>
      <c r="T704" s="32"/>
      <c r="U704" s="32"/>
      <c r="V704" s="32"/>
      <c r="W704" s="32"/>
      <c r="X704" s="32"/>
    </row>
    <row r="705">
      <c r="A705" s="67"/>
      <c r="B705" s="81"/>
      <c r="C705" s="79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32"/>
      <c r="S705" s="32"/>
      <c r="T705" s="32"/>
      <c r="U705" s="32"/>
      <c r="V705" s="32"/>
      <c r="W705" s="32"/>
      <c r="X705" s="32"/>
    </row>
    <row r="706">
      <c r="A706" s="67"/>
      <c r="B706" s="81"/>
      <c r="C706" s="79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32"/>
      <c r="S706" s="32"/>
      <c r="T706" s="32"/>
      <c r="U706" s="32"/>
      <c r="V706" s="32"/>
      <c r="W706" s="32"/>
      <c r="X706" s="32"/>
    </row>
    <row r="707">
      <c r="A707" s="67"/>
      <c r="B707" s="81"/>
      <c r="C707" s="79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32"/>
      <c r="S707" s="32"/>
      <c r="T707" s="32"/>
      <c r="U707" s="32"/>
      <c r="V707" s="32"/>
      <c r="W707" s="32"/>
      <c r="X707" s="32"/>
    </row>
    <row r="708">
      <c r="A708" s="67"/>
      <c r="B708" s="81"/>
      <c r="C708" s="79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32"/>
      <c r="S708" s="32"/>
      <c r="T708" s="32"/>
      <c r="U708" s="32"/>
      <c r="V708" s="32"/>
      <c r="W708" s="32"/>
      <c r="X708" s="32"/>
    </row>
    <row r="709">
      <c r="A709" s="67"/>
      <c r="B709" s="81"/>
      <c r="C709" s="79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32"/>
      <c r="S709" s="32"/>
      <c r="T709" s="32"/>
      <c r="U709" s="32"/>
      <c r="V709" s="32"/>
      <c r="W709" s="32"/>
      <c r="X709" s="32"/>
    </row>
    <row r="710">
      <c r="A710" s="67"/>
      <c r="B710" s="81"/>
      <c r="C710" s="79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32"/>
      <c r="S710" s="32"/>
      <c r="T710" s="32"/>
      <c r="U710" s="32"/>
      <c r="V710" s="32"/>
      <c r="W710" s="32"/>
      <c r="X710" s="32"/>
    </row>
    <row r="711">
      <c r="A711" s="67"/>
      <c r="B711" s="81"/>
      <c r="C711" s="79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32"/>
      <c r="S711" s="32"/>
      <c r="T711" s="32"/>
      <c r="U711" s="32"/>
      <c r="V711" s="32"/>
      <c r="W711" s="32"/>
      <c r="X711" s="32"/>
    </row>
    <row r="712">
      <c r="A712" s="67"/>
      <c r="B712" s="81"/>
      <c r="C712" s="79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32"/>
      <c r="S712" s="32"/>
      <c r="T712" s="32"/>
      <c r="U712" s="32"/>
      <c r="V712" s="32"/>
      <c r="W712" s="32"/>
      <c r="X712" s="32"/>
    </row>
    <row r="713">
      <c r="A713" s="67"/>
      <c r="B713" s="81"/>
      <c r="C713" s="79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32"/>
      <c r="S713" s="32"/>
      <c r="T713" s="32"/>
      <c r="U713" s="32"/>
      <c r="V713" s="32"/>
      <c r="W713" s="32"/>
      <c r="X713" s="32"/>
    </row>
    <row r="714">
      <c r="A714" s="67"/>
      <c r="B714" s="81"/>
      <c r="C714" s="79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32"/>
      <c r="S714" s="32"/>
      <c r="T714" s="32"/>
      <c r="U714" s="32"/>
      <c r="V714" s="32"/>
      <c r="W714" s="32"/>
      <c r="X714" s="32"/>
    </row>
    <row r="715">
      <c r="A715" s="67"/>
      <c r="B715" s="81"/>
      <c r="C715" s="79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32"/>
      <c r="S715" s="32"/>
      <c r="T715" s="32"/>
      <c r="U715" s="32"/>
      <c r="V715" s="32"/>
      <c r="W715" s="32"/>
      <c r="X715" s="32"/>
    </row>
    <row r="716">
      <c r="A716" s="67"/>
      <c r="B716" s="81"/>
      <c r="C716" s="79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32"/>
      <c r="S716" s="32"/>
      <c r="T716" s="32"/>
      <c r="U716" s="32"/>
      <c r="V716" s="32"/>
      <c r="W716" s="32"/>
      <c r="X716" s="32"/>
    </row>
    <row r="717">
      <c r="A717" s="67"/>
      <c r="B717" s="81"/>
      <c r="C717" s="79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32"/>
      <c r="S717" s="32"/>
      <c r="T717" s="32"/>
      <c r="U717" s="32"/>
      <c r="V717" s="32"/>
      <c r="W717" s="32"/>
      <c r="X717" s="32"/>
    </row>
    <row r="718">
      <c r="A718" s="67"/>
      <c r="B718" s="81"/>
      <c r="C718" s="79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32"/>
      <c r="S718" s="32"/>
      <c r="T718" s="32"/>
      <c r="U718" s="32"/>
      <c r="V718" s="32"/>
      <c r="W718" s="32"/>
      <c r="X718" s="32"/>
    </row>
    <row r="719">
      <c r="A719" s="67"/>
      <c r="B719" s="81"/>
      <c r="C719" s="79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32"/>
      <c r="S719" s="32"/>
      <c r="T719" s="32"/>
      <c r="U719" s="32"/>
      <c r="V719" s="32"/>
      <c r="W719" s="32"/>
      <c r="X719" s="32"/>
    </row>
    <row r="720">
      <c r="A720" s="67"/>
      <c r="B720" s="81"/>
      <c r="C720" s="79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32"/>
      <c r="S720" s="32"/>
      <c r="T720" s="32"/>
      <c r="U720" s="32"/>
      <c r="V720" s="32"/>
      <c r="W720" s="32"/>
      <c r="X720" s="32"/>
    </row>
    <row r="721">
      <c r="A721" s="67"/>
      <c r="B721" s="81"/>
      <c r="C721" s="79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32"/>
      <c r="S721" s="32"/>
      <c r="T721" s="32"/>
      <c r="U721" s="32"/>
      <c r="V721" s="32"/>
      <c r="W721" s="32"/>
      <c r="X721" s="32"/>
    </row>
    <row r="722">
      <c r="A722" s="67"/>
      <c r="B722" s="81"/>
      <c r="C722" s="79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32"/>
      <c r="S722" s="32"/>
      <c r="T722" s="32"/>
      <c r="U722" s="32"/>
      <c r="V722" s="32"/>
      <c r="W722" s="32"/>
      <c r="X722" s="32"/>
    </row>
    <row r="723">
      <c r="A723" s="67"/>
      <c r="B723" s="81"/>
      <c r="C723" s="79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32"/>
      <c r="S723" s="32"/>
      <c r="T723" s="32"/>
      <c r="U723" s="32"/>
      <c r="V723" s="32"/>
      <c r="W723" s="32"/>
      <c r="X723" s="32"/>
    </row>
    <row r="724">
      <c r="A724" s="67"/>
      <c r="B724" s="81"/>
      <c r="C724" s="79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32"/>
      <c r="S724" s="32"/>
      <c r="T724" s="32"/>
      <c r="U724" s="32"/>
      <c r="V724" s="32"/>
      <c r="W724" s="32"/>
      <c r="X724" s="32"/>
    </row>
    <row r="725">
      <c r="A725" s="67"/>
      <c r="B725" s="81"/>
      <c r="C725" s="79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32"/>
      <c r="S725" s="32"/>
      <c r="T725" s="32"/>
      <c r="U725" s="32"/>
      <c r="V725" s="32"/>
      <c r="W725" s="32"/>
      <c r="X725" s="32"/>
    </row>
    <row r="726">
      <c r="A726" s="67"/>
      <c r="B726" s="81"/>
      <c r="C726" s="79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32"/>
      <c r="S726" s="32"/>
      <c r="T726" s="32"/>
      <c r="U726" s="32"/>
      <c r="V726" s="32"/>
      <c r="W726" s="32"/>
      <c r="X726" s="32"/>
    </row>
    <row r="727">
      <c r="A727" s="67"/>
      <c r="B727" s="81"/>
      <c r="C727" s="79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32"/>
      <c r="S727" s="32"/>
      <c r="T727" s="32"/>
      <c r="U727" s="32"/>
      <c r="V727" s="32"/>
      <c r="W727" s="32"/>
      <c r="X727" s="32"/>
    </row>
    <row r="728">
      <c r="A728" s="67"/>
      <c r="B728" s="81"/>
      <c r="C728" s="79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32"/>
      <c r="S728" s="32"/>
      <c r="T728" s="32"/>
      <c r="U728" s="32"/>
      <c r="V728" s="32"/>
      <c r="W728" s="32"/>
      <c r="X728" s="32"/>
    </row>
    <row r="729">
      <c r="A729" s="67"/>
      <c r="B729" s="81"/>
      <c r="C729" s="79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32"/>
      <c r="S729" s="32"/>
      <c r="T729" s="32"/>
      <c r="U729" s="32"/>
      <c r="V729" s="32"/>
      <c r="W729" s="32"/>
      <c r="X729" s="32"/>
    </row>
    <row r="730">
      <c r="A730" s="67"/>
      <c r="B730" s="81"/>
      <c r="C730" s="79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32"/>
      <c r="S730" s="32"/>
      <c r="T730" s="32"/>
      <c r="U730" s="32"/>
      <c r="V730" s="32"/>
      <c r="W730" s="32"/>
      <c r="X730" s="32"/>
    </row>
    <row r="731">
      <c r="A731" s="67"/>
      <c r="B731" s="81"/>
      <c r="C731" s="79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32"/>
      <c r="S731" s="32"/>
      <c r="T731" s="32"/>
      <c r="U731" s="32"/>
      <c r="V731" s="32"/>
      <c r="W731" s="32"/>
      <c r="X731" s="32"/>
    </row>
    <row r="732">
      <c r="A732" s="67"/>
      <c r="B732" s="81"/>
      <c r="C732" s="79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32"/>
      <c r="S732" s="32"/>
      <c r="T732" s="32"/>
      <c r="U732" s="32"/>
      <c r="V732" s="32"/>
      <c r="W732" s="32"/>
      <c r="X732" s="32"/>
    </row>
    <row r="733">
      <c r="A733" s="67"/>
      <c r="B733" s="81"/>
      <c r="C733" s="79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32"/>
      <c r="S733" s="32"/>
      <c r="T733" s="32"/>
      <c r="U733" s="32"/>
      <c r="V733" s="32"/>
      <c r="W733" s="32"/>
      <c r="X733" s="32"/>
    </row>
    <row r="734">
      <c r="A734" s="67"/>
      <c r="B734" s="81"/>
      <c r="C734" s="79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32"/>
      <c r="S734" s="32"/>
      <c r="T734" s="32"/>
      <c r="U734" s="32"/>
      <c r="V734" s="32"/>
      <c r="W734" s="32"/>
      <c r="X734" s="32"/>
    </row>
    <row r="735">
      <c r="A735" s="67"/>
      <c r="B735" s="81"/>
      <c r="C735" s="79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32"/>
      <c r="S735" s="32"/>
      <c r="T735" s="32"/>
      <c r="U735" s="32"/>
      <c r="V735" s="32"/>
      <c r="W735" s="32"/>
      <c r="X735" s="32"/>
    </row>
    <row r="736">
      <c r="A736" s="67"/>
      <c r="B736" s="81"/>
      <c r="C736" s="79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32"/>
      <c r="S736" s="32"/>
      <c r="T736" s="32"/>
      <c r="U736" s="32"/>
      <c r="V736" s="32"/>
      <c r="W736" s="32"/>
      <c r="X736" s="32"/>
    </row>
    <row r="737">
      <c r="A737" s="67"/>
      <c r="B737" s="81"/>
      <c r="C737" s="79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32"/>
      <c r="S737" s="32"/>
      <c r="T737" s="32"/>
      <c r="U737" s="32"/>
      <c r="V737" s="32"/>
      <c r="W737" s="32"/>
      <c r="X737" s="32"/>
    </row>
    <row r="738">
      <c r="A738" s="67"/>
      <c r="B738" s="81"/>
      <c r="C738" s="79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32"/>
      <c r="S738" s="32"/>
      <c r="T738" s="32"/>
      <c r="U738" s="32"/>
      <c r="V738" s="32"/>
      <c r="W738" s="32"/>
      <c r="X738" s="32"/>
    </row>
    <row r="739">
      <c r="A739" s="67"/>
      <c r="B739" s="81"/>
      <c r="C739" s="79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32"/>
      <c r="S739" s="32"/>
      <c r="T739" s="32"/>
      <c r="U739" s="32"/>
      <c r="V739" s="32"/>
      <c r="W739" s="32"/>
      <c r="X739" s="32"/>
    </row>
    <row r="740">
      <c r="A740" s="67"/>
      <c r="B740" s="81"/>
      <c r="C740" s="79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32"/>
      <c r="S740" s="32"/>
      <c r="T740" s="32"/>
      <c r="U740" s="32"/>
      <c r="V740" s="32"/>
      <c r="W740" s="32"/>
      <c r="X740" s="32"/>
    </row>
    <row r="741">
      <c r="A741" s="67"/>
      <c r="B741" s="81"/>
      <c r="C741" s="79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32"/>
      <c r="S741" s="32"/>
      <c r="T741" s="32"/>
      <c r="U741" s="32"/>
      <c r="V741" s="32"/>
      <c r="W741" s="32"/>
      <c r="X741" s="32"/>
    </row>
    <row r="742">
      <c r="A742" s="67"/>
      <c r="B742" s="81"/>
      <c r="C742" s="79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32"/>
      <c r="S742" s="32"/>
      <c r="T742" s="32"/>
      <c r="U742" s="32"/>
      <c r="V742" s="32"/>
      <c r="W742" s="32"/>
      <c r="X742" s="32"/>
    </row>
    <row r="743">
      <c r="A743" s="67"/>
      <c r="B743" s="81"/>
      <c r="C743" s="79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32"/>
      <c r="S743" s="32"/>
      <c r="T743" s="32"/>
      <c r="U743" s="32"/>
      <c r="V743" s="32"/>
      <c r="W743" s="32"/>
      <c r="X743" s="32"/>
    </row>
    <row r="744">
      <c r="A744" s="67"/>
      <c r="B744" s="81"/>
      <c r="C744" s="79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32"/>
      <c r="S744" s="32"/>
      <c r="T744" s="32"/>
      <c r="U744" s="32"/>
      <c r="V744" s="32"/>
      <c r="W744" s="32"/>
      <c r="X744" s="32"/>
    </row>
    <row r="745">
      <c r="A745" s="67"/>
      <c r="B745" s="81"/>
      <c r="C745" s="79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32"/>
      <c r="S745" s="32"/>
      <c r="T745" s="32"/>
      <c r="U745" s="32"/>
      <c r="V745" s="32"/>
      <c r="W745" s="32"/>
      <c r="X745" s="32"/>
    </row>
    <row r="746">
      <c r="A746" s="67"/>
      <c r="B746" s="81"/>
      <c r="C746" s="79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32"/>
      <c r="S746" s="32"/>
      <c r="T746" s="32"/>
      <c r="U746" s="32"/>
      <c r="V746" s="32"/>
      <c r="W746" s="32"/>
      <c r="X746" s="32"/>
    </row>
    <row r="747">
      <c r="A747" s="67"/>
      <c r="B747" s="81"/>
      <c r="C747" s="79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32"/>
      <c r="S747" s="32"/>
      <c r="T747" s="32"/>
      <c r="U747" s="32"/>
      <c r="V747" s="32"/>
      <c r="W747" s="32"/>
      <c r="X747" s="32"/>
    </row>
    <row r="748">
      <c r="A748" s="67"/>
      <c r="B748" s="81"/>
      <c r="C748" s="79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32"/>
      <c r="S748" s="32"/>
      <c r="T748" s="32"/>
      <c r="U748" s="32"/>
      <c r="V748" s="32"/>
      <c r="W748" s="32"/>
      <c r="X748" s="32"/>
    </row>
    <row r="749">
      <c r="A749" s="67"/>
      <c r="B749" s="81"/>
      <c r="C749" s="79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32"/>
      <c r="S749" s="32"/>
      <c r="T749" s="32"/>
      <c r="U749" s="32"/>
      <c r="V749" s="32"/>
      <c r="W749" s="32"/>
      <c r="X749" s="32"/>
    </row>
    <row r="750">
      <c r="A750" s="67"/>
      <c r="B750" s="81"/>
      <c r="C750" s="79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32"/>
      <c r="S750" s="32"/>
      <c r="T750" s="32"/>
      <c r="U750" s="32"/>
      <c r="V750" s="32"/>
      <c r="W750" s="32"/>
      <c r="X750" s="32"/>
    </row>
    <row r="751">
      <c r="A751" s="67"/>
      <c r="B751" s="81"/>
      <c r="C751" s="79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32"/>
      <c r="S751" s="32"/>
      <c r="T751" s="32"/>
      <c r="U751" s="32"/>
      <c r="V751" s="32"/>
      <c r="W751" s="32"/>
      <c r="X751" s="32"/>
    </row>
    <row r="752">
      <c r="A752" s="67"/>
      <c r="B752" s="81"/>
      <c r="C752" s="79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32"/>
      <c r="S752" s="32"/>
      <c r="T752" s="32"/>
      <c r="U752" s="32"/>
      <c r="V752" s="32"/>
      <c r="W752" s="32"/>
      <c r="X752" s="32"/>
    </row>
    <row r="753">
      <c r="A753" s="67"/>
      <c r="B753" s="81"/>
      <c r="C753" s="79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32"/>
      <c r="S753" s="32"/>
      <c r="T753" s="32"/>
      <c r="U753" s="32"/>
      <c r="V753" s="32"/>
      <c r="W753" s="32"/>
      <c r="X753" s="32"/>
    </row>
    <row r="754">
      <c r="A754" s="67"/>
      <c r="B754" s="81"/>
      <c r="C754" s="79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32"/>
      <c r="S754" s="32"/>
      <c r="T754" s="32"/>
      <c r="U754" s="32"/>
      <c r="V754" s="32"/>
      <c r="W754" s="32"/>
      <c r="X754" s="32"/>
    </row>
    <row r="755">
      <c r="A755" s="67"/>
      <c r="B755" s="81"/>
      <c r="C755" s="79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32"/>
      <c r="S755" s="32"/>
      <c r="T755" s="32"/>
      <c r="U755" s="32"/>
      <c r="V755" s="32"/>
      <c r="W755" s="32"/>
      <c r="X755" s="32"/>
    </row>
    <row r="756">
      <c r="A756" s="67"/>
      <c r="B756" s="81"/>
      <c r="C756" s="79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32"/>
      <c r="S756" s="32"/>
      <c r="T756" s="32"/>
      <c r="U756" s="32"/>
      <c r="V756" s="32"/>
      <c r="W756" s="32"/>
      <c r="X756" s="32"/>
    </row>
    <row r="757">
      <c r="A757" s="67"/>
      <c r="B757" s="81"/>
      <c r="C757" s="79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32"/>
      <c r="S757" s="32"/>
      <c r="T757" s="32"/>
      <c r="U757" s="32"/>
      <c r="V757" s="32"/>
      <c r="W757" s="32"/>
      <c r="X757" s="32"/>
    </row>
    <row r="758">
      <c r="A758" s="67"/>
      <c r="B758" s="81"/>
      <c r="C758" s="79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32"/>
      <c r="S758" s="32"/>
      <c r="T758" s="32"/>
      <c r="U758" s="32"/>
      <c r="V758" s="32"/>
      <c r="W758" s="32"/>
      <c r="X758" s="32"/>
    </row>
    <row r="759">
      <c r="A759" s="67"/>
      <c r="B759" s="81"/>
      <c r="C759" s="79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32"/>
      <c r="S759" s="32"/>
      <c r="T759" s="32"/>
      <c r="U759" s="32"/>
      <c r="V759" s="32"/>
      <c r="W759" s="32"/>
      <c r="X759" s="32"/>
    </row>
    <row r="760">
      <c r="A760" s="67"/>
      <c r="B760" s="81"/>
      <c r="C760" s="79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32"/>
      <c r="S760" s="32"/>
      <c r="T760" s="32"/>
      <c r="U760" s="32"/>
      <c r="V760" s="32"/>
      <c r="W760" s="32"/>
      <c r="X760" s="32"/>
    </row>
    <row r="761">
      <c r="A761" s="67"/>
      <c r="B761" s="81"/>
      <c r="C761" s="79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32"/>
      <c r="S761" s="32"/>
      <c r="T761" s="32"/>
      <c r="U761" s="32"/>
      <c r="V761" s="32"/>
      <c r="W761" s="32"/>
      <c r="X761" s="32"/>
    </row>
    <row r="762">
      <c r="A762" s="67"/>
      <c r="B762" s="81"/>
      <c r="C762" s="79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32"/>
      <c r="S762" s="32"/>
      <c r="T762" s="32"/>
      <c r="U762" s="32"/>
      <c r="V762" s="32"/>
      <c r="W762" s="32"/>
      <c r="X762" s="32"/>
    </row>
    <row r="763">
      <c r="A763" s="67"/>
      <c r="B763" s="81"/>
      <c r="C763" s="79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32"/>
      <c r="S763" s="32"/>
      <c r="T763" s="32"/>
      <c r="U763" s="32"/>
      <c r="V763" s="32"/>
      <c r="W763" s="32"/>
      <c r="X763" s="32"/>
    </row>
    <row r="764">
      <c r="A764" s="67"/>
      <c r="B764" s="81"/>
      <c r="C764" s="79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32"/>
      <c r="S764" s="32"/>
      <c r="T764" s="32"/>
      <c r="U764" s="32"/>
      <c r="V764" s="32"/>
      <c r="W764" s="32"/>
      <c r="X764" s="32"/>
    </row>
    <row r="765">
      <c r="A765" s="67"/>
      <c r="B765" s="81"/>
      <c r="C765" s="79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32"/>
      <c r="S765" s="32"/>
      <c r="T765" s="32"/>
      <c r="U765" s="32"/>
      <c r="V765" s="32"/>
      <c r="W765" s="32"/>
      <c r="X765" s="32"/>
    </row>
    <row r="766">
      <c r="A766" s="67"/>
      <c r="B766" s="81"/>
      <c r="C766" s="79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32"/>
      <c r="S766" s="32"/>
      <c r="T766" s="32"/>
      <c r="U766" s="32"/>
      <c r="V766" s="32"/>
      <c r="W766" s="32"/>
      <c r="X766" s="32"/>
    </row>
    <row r="767">
      <c r="A767" s="67"/>
      <c r="B767" s="81"/>
      <c r="C767" s="79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32"/>
      <c r="S767" s="32"/>
      <c r="T767" s="32"/>
      <c r="U767" s="32"/>
      <c r="V767" s="32"/>
      <c r="W767" s="32"/>
      <c r="X767" s="32"/>
    </row>
    <row r="768">
      <c r="A768" s="67"/>
      <c r="B768" s="81"/>
      <c r="C768" s="79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32"/>
      <c r="S768" s="32"/>
      <c r="T768" s="32"/>
      <c r="U768" s="32"/>
      <c r="V768" s="32"/>
      <c r="W768" s="32"/>
      <c r="X768" s="32"/>
    </row>
    <row r="769">
      <c r="A769" s="67"/>
      <c r="B769" s="81"/>
      <c r="C769" s="79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32"/>
      <c r="S769" s="32"/>
      <c r="T769" s="32"/>
      <c r="U769" s="32"/>
      <c r="V769" s="32"/>
      <c r="W769" s="32"/>
      <c r="X769" s="32"/>
    </row>
    <row r="770">
      <c r="A770" s="67"/>
      <c r="B770" s="81"/>
      <c r="C770" s="79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32"/>
      <c r="S770" s="32"/>
      <c r="T770" s="32"/>
      <c r="U770" s="32"/>
      <c r="V770" s="32"/>
      <c r="W770" s="32"/>
      <c r="X770" s="32"/>
    </row>
    <row r="771">
      <c r="A771" s="67"/>
      <c r="B771" s="81"/>
      <c r="C771" s="79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32"/>
      <c r="S771" s="32"/>
      <c r="T771" s="32"/>
      <c r="U771" s="32"/>
      <c r="V771" s="32"/>
      <c r="W771" s="32"/>
      <c r="X771" s="32"/>
    </row>
    <row r="772">
      <c r="A772" s="67"/>
      <c r="B772" s="81"/>
      <c r="C772" s="79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32"/>
      <c r="S772" s="32"/>
      <c r="T772" s="32"/>
      <c r="U772" s="32"/>
      <c r="V772" s="32"/>
      <c r="W772" s="32"/>
      <c r="X772" s="32"/>
    </row>
    <row r="773">
      <c r="A773" s="67"/>
      <c r="B773" s="81"/>
      <c r="C773" s="79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32"/>
      <c r="S773" s="32"/>
      <c r="T773" s="32"/>
      <c r="U773" s="32"/>
      <c r="V773" s="32"/>
      <c r="W773" s="32"/>
      <c r="X773" s="32"/>
    </row>
    <row r="774">
      <c r="A774" s="67"/>
      <c r="B774" s="81"/>
      <c r="C774" s="79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32"/>
      <c r="S774" s="32"/>
      <c r="T774" s="32"/>
      <c r="U774" s="32"/>
      <c r="V774" s="32"/>
      <c r="W774" s="32"/>
      <c r="X774" s="32"/>
    </row>
    <row r="775">
      <c r="A775" s="67"/>
      <c r="B775" s="81"/>
      <c r="C775" s="79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32"/>
      <c r="S775" s="32"/>
      <c r="T775" s="32"/>
      <c r="U775" s="32"/>
      <c r="V775" s="32"/>
      <c r="W775" s="32"/>
      <c r="X775" s="32"/>
    </row>
    <row r="776">
      <c r="A776" s="67"/>
      <c r="B776" s="81"/>
      <c r="C776" s="79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32"/>
      <c r="S776" s="32"/>
      <c r="T776" s="32"/>
      <c r="U776" s="32"/>
      <c r="V776" s="32"/>
      <c r="W776" s="32"/>
      <c r="X776" s="32"/>
    </row>
    <row r="777">
      <c r="A777" s="67"/>
      <c r="B777" s="81"/>
      <c r="C777" s="79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32"/>
      <c r="S777" s="32"/>
      <c r="T777" s="32"/>
      <c r="U777" s="32"/>
      <c r="V777" s="32"/>
      <c r="W777" s="32"/>
      <c r="X777" s="32"/>
    </row>
    <row r="778">
      <c r="A778" s="67"/>
      <c r="B778" s="81"/>
      <c r="C778" s="79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32"/>
      <c r="S778" s="32"/>
      <c r="T778" s="32"/>
      <c r="U778" s="32"/>
      <c r="V778" s="32"/>
      <c r="W778" s="32"/>
      <c r="X778" s="32"/>
    </row>
    <row r="779">
      <c r="A779" s="67"/>
      <c r="B779" s="81"/>
      <c r="C779" s="79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32"/>
      <c r="S779" s="32"/>
      <c r="T779" s="32"/>
      <c r="U779" s="32"/>
      <c r="V779" s="32"/>
      <c r="W779" s="32"/>
      <c r="X779" s="32"/>
    </row>
    <row r="780">
      <c r="A780" s="67"/>
      <c r="B780" s="81"/>
      <c r="C780" s="79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32"/>
      <c r="S780" s="32"/>
      <c r="T780" s="32"/>
      <c r="U780" s="32"/>
      <c r="V780" s="32"/>
      <c r="W780" s="32"/>
      <c r="X780" s="32"/>
    </row>
    <row r="781">
      <c r="A781" s="67"/>
      <c r="B781" s="81"/>
      <c r="C781" s="79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32"/>
      <c r="S781" s="32"/>
      <c r="T781" s="32"/>
      <c r="U781" s="32"/>
      <c r="V781" s="32"/>
      <c r="W781" s="32"/>
      <c r="X781" s="32"/>
    </row>
    <row r="782">
      <c r="A782" s="67"/>
      <c r="B782" s="81"/>
      <c r="C782" s="79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32"/>
      <c r="S782" s="32"/>
      <c r="T782" s="32"/>
      <c r="U782" s="32"/>
      <c r="V782" s="32"/>
      <c r="W782" s="32"/>
      <c r="X782" s="32"/>
    </row>
    <row r="783">
      <c r="A783" s="67"/>
      <c r="B783" s="81"/>
      <c r="C783" s="79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32"/>
      <c r="S783" s="32"/>
      <c r="T783" s="32"/>
      <c r="U783" s="32"/>
      <c r="V783" s="32"/>
      <c r="W783" s="32"/>
      <c r="X783" s="32"/>
    </row>
    <row r="784">
      <c r="A784" s="67"/>
      <c r="B784" s="81"/>
      <c r="C784" s="79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32"/>
      <c r="S784" s="32"/>
      <c r="T784" s="32"/>
      <c r="U784" s="32"/>
      <c r="V784" s="32"/>
      <c r="W784" s="32"/>
      <c r="X784" s="32"/>
    </row>
    <row r="785">
      <c r="A785" s="67"/>
      <c r="B785" s="81"/>
      <c r="C785" s="79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32"/>
      <c r="S785" s="32"/>
      <c r="T785" s="32"/>
      <c r="U785" s="32"/>
      <c r="V785" s="32"/>
      <c r="W785" s="32"/>
      <c r="X785" s="32"/>
    </row>
    <row r="786">
      <c r="A786" s="67"/>
      <c r="B786" s="81"/>
      <c r="C786" s="79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32"/>
      <c r="S786" s="32"/>
      <c r="T786" s="32"/>
      <c r="U786" s="32"/>
      <c r="V786" s="32"/>
      <c r="W786" s="32"/>
      <c r="X786" s="32"/>
    </row>
    <row r="787">
      <c r="A787" s="67"/>
      <c r="B787" s="81"/>
      <c r="C787" s="79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32"/>
      <c r="S787" s="32"/>
      <c r="T787" s="32"/>
      <c r="U787" s="32"/>
      <c r="V787" s="32"/>
      <c r="W787" s="32"/>
      <c r="X787" s="32"/>
    </row>
    <row r="788">
      <c r="A788" s="67"/>
      <c r="B788" s="81"/>
      <c r="C788" s="79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32"/>
      <c r="S788" s="32"/>
      <c r="T788" s="32"/>
      <c r="U788" s="32"/>
      <c r="V788" s="32"/>
      <c r="W788" s="32"/>
      <c r="X788" s="32"/>
    </row>
    <row r="789">
      <c r="A789" s="67"/>
      <c r="B789" s="81"/>
      <c r="C789" s="79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32"/>
      <c r="S789" s="32"/>
      <c r="T789" s="32"/>
      <c r="U789" s="32"/>
      <c r="V789" s="32"/>
      <c r="W789" s="32"/>
      <c r="X789" s="32"/>
    </row>
    <row r="790">
      <c r="A790" s="67"/>
      <c r="B790" s="81"/>
      <c r="C790" s="79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32"/>
      <c r="S790" s="32"/>
      <c r="T790" s="32"/>
      <c r="U790" s="32"/>
      <c r="V790" s="32"/>
      <c r="W790" s="32"/>
      <c r="X790" s="32"/>
    </row>
    <row r="791">
      <c r="A791" s="67"/>
      <c r="B791" s="81"/>
      <c r="C791" s="79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32"/>
      <c r="S791" s="32"/>
      <c r="T791" s="32"/>
      <c r="U791" s="32"/>
      <c r="V791" s="32"/>
      <c r="W791" s="32"/>
      <c r="X791" s="32"/>
    </row>
    <row r="792">
      <c r="A792" s="67"/>
      <c r="B792" s="81"/>
      <c r="C792" s="79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32"/>
      <c r="S792" s="32"/>
      <c r="T792" s="32"/>
      <c r="U792" s="32"/>
      <c r="V792" s="32"/>
      <c r="W792" s="32"/>
      <c r="X792" s="32"/>
    </row>
    <row r="793">
      <c r="A793" s="67"/>
      <c r="B793" s="81"/>
      <c r="C793" s="79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32"/>
      <c r="S793" s="32"/>
      <c r="T793" s="32"/>
      <c r="U793" s="32"/>
      <c r="V793" s="32"/>
      <c r="W793" s="32"/>
      <c r="X793" s="32"/>
    </row>
    <row r="794">
      <c r="A794" s="67"/>
      <c r="B794" s="81"/>
      <c r="C794" s="79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32"/>
      <c r="S794" s="32"/>
      <c r="T794" s="32"/>
      <c r="U794" s="32"/>
      <c r="V794" s="32"/>
      <c r="W794" s="32"/>
      <c r="X794" s="32"/>
    </row>
    <row r="795">
      <c r="A795" s="67"/>
      <c r="B795" s="81"/>
      <c r="C795" s="79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32"/>
      <c r="S795" s="32"/>
      <c r="T795" s="32"/>
      <c r="U795" s="32"/>
      <c r="V795" s="32"/>
      <c r="W795" s="32"/>
      <c r="X795" s="32"/>
    </row>
    <row r="796">
      <c r="A796" s="67"/>
      <c r="B796" s="81"/>
      <c r="C796" s="79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32"/>
      <c r="S796" s="32"/>
      <c r="T796" s="32"/>
      <c r="U796" s="32"/>
      <c r="V796" s="32"/>
      <c r="W796" s="32"/>
      <c r="X796" s="32"/>
    </row>
    <row r="797">
      <c r="A797" s="67"/>
      <c r="B797" s="81"/>
      <c r="C797" s="79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32"/>
      <c r="S797" s="32"/>
      <c r="T797" s="32"/>
      <c r="U797" s="32"/>
      <c r="V797" s="32"/>
      <c r="W797" s="32"/>
      <c r="X797" s="32"/>
    </row>
    <row r="798">
      <c r="A798" s="67"/>
      <c r="B798" s="81"/>
      <c r="C798" s="79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32"/>
      <c r="S798" s="32"/>
      <c r="T798" s="32"/>
      <c r="U798" s="32"/>
      <c r="V798" s="32"/>
      <c r="W798" s="32"/>
      <c r="X798" s="32"/>
    </row>
    <row r="799">
      <c r="A799" s="67"/>
      <c r="B799" s="81"/>
      <c r="C799" s="79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32"/>
      <c r="S799" s="32"/>
      <c r="T799" s="32"/>
      <c r="U799" s="32"/>
      <c r="V799" s="32"/>
      <c r="W799" s="32"/>
      <c r="X799" s="32"/>
    </row>
    <row r="800">
      <c r="A800" s="67"/>
      <c r="B800" s="81"/>
      <c r="C800" s="79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32"/>
      <c r="S800" s="32"/>
      <c r="T800" s="32"/>
      <c r="U800" s="32"/>
      <c r="V800" s="32"/>
      <c r="W800" s="32"/>
      <c r="X800" s="32"/>
    </row>
    <row r="801">
      <c r="A801" s="67"/>
      <c r="B801" s="81"/>
      <c r="C801" s="79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32"/>
      <c r="S801" s="32"/>
      <c r="T801" s="32"/>
      <c r="U801" s="32"/>
      <c r="V801" s="32"/>
      <c r="W801" s="32"/>
      <c r="X801" s="32"/>
    </row>
    <row r="802">
      <c r="A802" s="67"/>
      <c r="B802" s="81"/>
      <c r="C802" s="79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32"/>
      <c r="S802" s="32"/>
      <c r="T802" s="32"/>
      <c r="U802" s="32"/>
      <c r="V802" s="32"/>
      <c r="W802" s="32"/>
      <c r="X802" s="32"/>
    </row>
    <row r="803">
      <c r="A803" s="67"/>
      <c r="B803" s="81"/>
      <c r="C803" s="79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32"/>
      <c r="S803" s="32"/>
      <c r="T803" s="32"/>
      <c r="U803" s="32"/>
      <c r="V803" s="32"/>
      <c r="W803" s="32"/>
      <c r="X803" s="32"/>
    </row>
    <row r="804">
      <c r="A804" s="67"/>
      <c r="B804" s="81"/>
      <c r="C804" s="79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32"/>
      <c r="S804" s="32"/>
      <c r="T804" s="32"/>
      <c r="U804" s="32"/>
      <c r="V804" s="32"/>
      <c r="W804" s="32"/>
      <c r="X804" s="32"/>
    </row>
    <row r="805">
      <c r="A805" s="67"/>
      <c r="B805" s="81"/>
      <c r="C805" s="79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32"/>
      <c r="S805" s="32"/>
      <c r="T805" s="32"/>
      <c r="U805" s="32"/>
      <c r="V805" s="32"/>
      <c r="W805" s="32"/>
      <c r="X805" s="32"/>
    </row>
    <row r="806">
      <c r="A806" s="67"/>
      <c r="B806" s="81"/>
      <c r="C806" s="79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32"/>
      <c r="S806" s="32"/>
      <c r="T806" s="32"/>
      <c r="U806" s="32"/>
      <c r="V806" s="32"/>
      <c r="W806" s="32"/>
      <c r="X806" s="32"/>
    </row>
    <row r="807">
      <c r="A807" s="67"/>
      <c r="B807" s="81"/>
      <c r="C807" s="79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32"/>
      <c r="S807" s="32"/>
      <c r="T807" s="32"/>
      <c r="U807" s="32"/>
      <c r="V807" s="32"/>
      <c r="W807" s="32"/>
      <c r="X807" s="32"/>
    </row>
    <row r="808">
      <c r="A808" s="67"/>
      <c r="B808" s="81"/>
      <c r="C808" s="79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32"/>
      <c r="S808" s="32"/>
      <c r="T808" s="32"/>
      <c r="U808" s="32"/>
      <c r="V808" s="32"/>
      <c r="W808" s="32"/>
      <c r="X808" s="32"/>
    </row>
    <row r="809">
      <c r="A809" s="67"/>
      <c r="B809" s="81"/>
      <c r="C809" s="79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32"/>
      <c r="S809" s="32"/>
      <c r="T809" s="32"/>
      <c r="U809" s="32"/>
      <c r="V809" s="32"/>
      <c r="W809" s="32"/>
      <c r="X809" s="32"/>
    </row>
    <row r="810">
      <c r="A810" s="67"/>
      <c r="B810" s="81"/>
      <c r="C810" s="79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32"/>
      <c r="S810" s="32"/>
      <c r="T810" s="32"/>
      <c r="U810" s="32"/>
      <c r="V810" s="32"/>
      <c r="W810" s="32"/>
      <c r="X810" s="32"/>
    </row>
    <row r="811">
      <c r="A811" s="67"/>
      <c r="B811" s="81"/>
      <c r="C811" s="79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32"/>
      <c r="S811" s="32"/>
      <c r="T811" s="32"/>
      <c r="U811" s="32"/>
      <c r="V811" s="32"/>
      <c r="W811" s="32"/>
      <c r="X811" s="32"/>
    </row>
    <row r="812">
      <c r="A812" s="67"/>
      <c r="B812" s="81"/>
      <c r="C812" s="79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32"/>
      <c r="S812" s="32"/>
      <c r="T812" s="32"/>
      <c r="U812" s="32"/>
      <c r="V812" s="32"/>
      <c r="W812" s="32"/>
      <c r="X812" s="32"/>
    </row>
    <row r="813">
      <c r="A813" s="67"/>
      <c r="B813" s="81"/>
      <c r="C813" s="79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32"/>
      <c r="S813" s="32"/>
      <c r="T813" s="32"/>
      <c r="U813" s="32"/>
      <c r="V813" s="32"/>
      <c r="W813" s="32"/>
      <c r="X813" s="32"/>
    </row>
    <row r="814">
      <c r="A814" s="67"/>
      <c r="B814" s="81"/>
      <c r="C814" s="79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32"/>
      <c r="S814" s="32"/>
      <c r="T814" s="32"/>
      <c r="U814" s="32"/>
      <c r="V814" s="32"/>
      <c r="W814" s="32"/>
      <c r="X814" s="32"/>
    </row>
    <row r="815">
      <c r="A815" s="67"/>
      <c r="B815" s="81"/>
      <c r="C815" s="79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32"/>
      <c r="S815" s="32"/>
      <c r="T815" s="32"/>
      <c r="U815" s="32"/>
      <c r="V815" s="32"/>
      <c r="W815" s="32"/>
      <c r="X815" s="32"/>
    </row>
    <row r="816">
      <c r="A816" s="67"/>
      <c r="B816" s="81"/>
      <c r="C816" s="79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32"/>
      <c r="S816" s="32"/>
      <c r="T816" s="32"/>
      <c r="U816" s="32"/>
      <c r="V816" s="32"/>
      <c r="W816" s="32"/>
      <c r="X816" s="32"/>
    </row>
    <row r="817">
      <c r="A817" s="67"/>
      <c r="B817" s="81"/>
      <c r="C817" s="79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32"/>
      <c r="S817" s="32"/>
      <c r="T817" s="32"/>
      <c r="U817" s="32"/>
      <c r="V817" s="32"/>
      <c r="W817" s="32"/>
      <c r="X817" s="32"/>
    </row>
    <row r="818">
      <c r="A818" s="67"/>
      <c r="B818" s="81"/>
      <c r="C818" s="79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32"/>
      <c r="S818" s="32"/>
      <c r="T818" s="32"/>
      <c r="U818" s="32"/>
      <c r="V818" s="32"/>
      <c r="W818" s="32"/>
      <c r="X818" s="32"/>
    </row>
    <row r="819">
      <c r="A819" s="67"/>
      <c r="B819" s="81"/>
      <c r="C819" s="79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32"/>
      <c r="S819" s="32"/>
      <c r="T819" s="32"/>
      <c r="U819" s="32"/>
      <c r="V819" s="32"/>
      <c r="W819" s="32"/>
      <c r="X819" s="32"/>
    </row>
    <row r="820">
      <c r="A820" s="67"/>
      <c r="B820" s="81"/>
      <c r="C820" s="79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32"/>
      <c r="S820" s="32"/>
      <c r="T820" s="32"/>
      <c r="U820" s="32"/>
      <c r="V820" s="32"/>
      <c r="W820" s="32"/>
      <c r="X820" s="32"/>
    </row>
    <row r="821">
      <c r="A821" s="67"/>
      <c r="B821" s="81"/>
      <c r="C821" s="79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32"/>
      <c r="S821" s="32"/>
      <c r="T821" s="32"/>
      <c r="U821" s="32"/>
      <c r="V821" s="32"/>
      <c r="W821" s="32"/>
      <c r="X821" s="32"/>
    </row>
    <row r="822">
      <c r="A822" s="67"/>
      <c r="B822" s="81"/>
      <c r="C822" s="79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32"/>
      <c r="S822" s="32"/>
      <c r="T822" s="32"/>
      <c r="U822" s="32"/>
      <c r="V822" s="32"/>
      <c r="W822" s="32"/>
      <c r="X822" s="32"/>
    </row>
    <row r="823">
      <c r="A823" s="67"/>
      <c r="B823" s="81"/>
      <c r="C823" s="79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32"/>
      <c r="S823" s="32"/>
      <c r="T823" s="32"/>
      <c r="U823" s="32"/>
      <c r="V823" s="32"/>
      <c r="W823" s="32"/>
      <c r="X823" s="32"/>
    </row>
    <row r="824">
      <c r="A824" s="67"/>
      <c r="B824" s="81"/>
      <c r="C824" s="79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32"/>
      <c r="S824" s="32"/>
      <c r="T824" s="32"/>
      <c r="U824" s="32"/>
      <c r="V824" s="32"/>
      <c r="W824" s="32"/>
      <c r="X824" s="32"/>
    </row>
    <row r="825">
      <c r="A825" s="67"/>
      <c r="B825" s="81"/>
      <c r="C825" s="79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32"/>
      <c r="S825" s="32"/>
      <c r="T825" s="32"/>
      <c r="U825" s="32"/>
      <c r="V825" s="32"/>
      <c r="W825" s="32"/>
      <c r="X825" s="32"/>
    </row>
    <row r="826">
      <c r="A826" s="67"/>
      <c r="B826" s="81"/>
      <c r="C826" s="79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32"/>
      <c r="S826" s="32"/>
      <c r="T826" s="32"/>
      <c r="U826" s="32"/>
      <c r="V826" s="32"/>
      <c r="W826" s="32"/>
      <c r="X826" s="32"/>
    </row>
    <row r="827">
      <c r="A827" s="67"/>
      <c r="B827" s="81"/>
      <c r="C827" s="79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32"/>
      <c r="S827" s="32"/>
      <c r="T827" s="32"/>
      <c r="U827" s="32"/>
      <c r="V827" s="32"/>
      <c r="W827" s="32"/>
      <c r="X827" s="32"/>
    </row>
    <row r="828">
      <c r="A828" s="67"/>
      <c r="B828" s="81"/>
      <c r="C828" s="79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32"/>
      <c r="S828" s="32"/>
      <c r="T828" s="32"/>
      <c r="U828" s="32"/>
      <c r="V828" s="32"/>
      <c r="W828" s="32"/>
      <c r="X828" s="32"/>
    </row>
    <row r="829">
      <c r="A829" s="67"/>
      <c r="B829" s="81"/>
      <c r="C829" s="79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32"/>
      <c r="S829" s="32"/>
      <c r="T829" s="32"/>
      <c r="U829" s="32"/>
      <c r="V829" s="32"/>
      <c r="W829" s="32"/>
      <c r="X829" s="32"/>
    </row>
    <row r="830">
      <c r="A830" s="67"/>
      <c r="B830" s="81"/>
      <c r="C830" s="79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32"/>
      <c r="S830" s="32"/>
      <c r="T830" s="32"/>
      <c r="U830" s="32"/>
      <c r="V830" s="32"/>
      <c r="W830" s="32"/>
      <c r="X830" s="32"/>
    </row>
    <row r="831">
      <c r="A831" s="67"/>
      <c r="B831" s="81"/>
      <c r="C831" s="79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32"/>
      <c r="S831" s="32"/>
      <c r="T831" s="32"/>
      <c r="U831" s="32"/>
      <c r="V831" s="32"/>
      <c r="W831" s="32"/>
      <c r="X831" s="32"/>
    </row>
    <row r="832">
      <c r="A832" s="67"/>
      <c r="B832" s="81"/>
      <c r="C832" s="79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32"/>
      <c r="S832" s="32"/>
      <c r="T832" s="32"/>
      <c r="U832" s="32"/>
      <c r="V832" s="32"/>
      <c r="W832" s="32"/>
      <c r="X832" s="32"/>
    </row>
    <row r="833">
      <c r="A833" s="67"/>
      <c r="B833" s="81"/>
      <c r="C833" s="79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32"/>
      <c r="S833" s="32"/>
      <c r="T833" s="32"/>
      <c r="U833" s="32"/>
      <c r="V833" s="32"/>
      <c r="W833" s="32"/>
      <c r="X833" s="32"/>
    </row>
    <row r="834">
      <c r="A834" s="67"/>
      <c r="B834" s="81"/>
      <c r="C834" s="79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32"/>
      <c r="S834" s="32"/>
      <c r="T834" s="32"/>
      <c r="U834" s="32"/>
      <c r="V834" s="32"/>
      <c r="W834" s="32"/>
      <c r="X834" s="32"/>
    </row>
    <row r="835">
      <c r="A835" s="67"/>
      <c r="B835" s="81"/>
      <c r="C835" s="79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32"/>
      <c r="S835" s="32"/>
      <c r="T835" s="32"/>
      <c r="U835" s="32"/>
      <c r="V835" s="32"/>
      <c r="W835" s="32"/>
      <c r="X835" s="32"/>
    </row>
    <row r="836">
      <c r="A836" s="67"/>
      <c r="B836" s="81"/>
      <c r="C836" s="79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32"/>
      <c r="S836" s="32"/>
      <c r="T836" s="32"/>
      <c r="U836" s="32"/>
      <c r="V836" s="32"/>
      <c r="W836" s="32"/>
      <c r="X836" s="32"/>
    </row>
    <row r="837">
      <c r="A837" s="67"/>
      <c r="B837" s="81"/>
      <c r="C837" s="79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32"/>
      <c r="S837" s="32"/>
      <c r="T837" s="32"/>
      <c r="U837" s="32"/>
      <c r="V837" s="32"/>
      <c r="W837" s="32"/>
      <c r="X837" s="32"/>
    </row>
    <row r="838">
      <c r="A838" s="67"/>
      <c r="B838" s="81"/>
      <c r="C838" s="79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32"/>
      <c r="S838" s="32"/>
      <c r="T838" s="32"/>
      <c r="U838" s="32"/>
      <c r="V838" s="32"/>
      <c r="W838" s="32"/>
      <c r="X838" s="32"/>
    </row>
    <row r="839">
      <c r="A839" s="67"/>
      <c r="B839" s="81"/>
      <c r="C839" s="79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32"/>
      <c r="S839" s="32"/>
      <c r="T839" s="32"/>
      <c r="U839" s="32"/>
      <c r="V839" s="32"/>
      <c r="W839" s="32"/>
      <c r="X839" s="32"/>
    </row>
    <row r="840">
      <c r="A840" s="67"/>
      <c r="B840" s="81"/>
      <c r="C840" s="79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32"/>
      <c r="S840" s="32"/>
      <c r="T840" s="32"/>
      <c r="U840" s="32"/>
      <c r="V840" s="32"/>
      <c r="W840" s="32"/>
      <c r="X840" s="32"/>
    </row>
    <row r="841">
      <c r="A841" s="67"/>
      <c r="B841" s="81"/>
      <c r="C841" s="79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32"/>
      <c r="S841" s="32"/>
      <c r="T841" s="32"/>
      <c r="U841" s="32"/>
      <c r="V841" s="32"/>
      <c r="W841" s="32"/>
      <c r="X841" s="32"/>
    </row>
    <row r="842">
      <c r="A842" s="67"/>
      <c r="B842" s="81"/>
      <c r="C842" s="79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32"/>
      <c r="S842" s="32"/>
      <c r="T842" s="32"/>
      <c r="U842" s="32"/>
      <c r="V842" s="32"/>
      <c r="W842" s="32"/>
      <c r="X842" s="32"/>
    </row>
    <row r="843">
      <c r="A843" s="67"/>
      <c r="B843" s="81"/>
      <c r="C843" s="79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32"/>
      <c r="S843" s="32"/>
      <c r="T843" s="32"/>
      <c r="U843" s="32"/>
      <c r="V843" s="32"/>
      <c r="W843" s="32"/>
      <c r="X843" s="32"/>
    </row>
    <row r="844">
      <c r="A844" s="67"/>
      <c r="B844" s="81"/>
      <c r="C844" s="79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32"/>
      <c r="S844" s="32"/>
      <c r="T844" s="32"/>
      <c r="U844" s="32"/>
      <c r="V844" s="32"/>
      <c r="W844" s="32"/>
      <c r="X844" s="32"/>
    </row>
    <row r="845">
      <c r="A845" s="67"/>
      <c r="B845" s="81"/>
      <c r="C845" s="79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32"/>
      <c r="S845" s="32"/>
      <c r="T845" s="32"/>
      <c r="U845" s="32"/>
      <c r="V845" s="32"/>
      <c r="W845" s="32"/>
      <c r="X845" s="32"/>
    </row>
    <row r="846">
      <c r="A846" s="67"/>
      <c r="B846" s="81"/>
      <c r="C846" s="79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32"/>
      <c r="S846" s="32"/>
      <c r="T846" s="32"/>
      <c r="U846" s="32"/>
      <c r="V846" s="32"/>
      <c r="W846" s="32"/>
      <c r="X846" s="32"/>
    </row>
    <row r="847">
      <c r="A847" s="67"/>
      <c r="B847" s="81"/>
      <c r="C847" s="79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32"/>
      <c r="S847" s="32"/>
      <c r="T847" s="32"/>
      <c r="U847" s="32"/>
      <c r="V847" s="32"/>
      <c r="W847" s="32"/>
      <c r="X847" s="32"/>
    </row>
    <row r="848">
      <c r="A848" s="67"/>
      <c r="B848" s="81"/>
      <c r="C848" s="79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32"/>
      <c r="S848" s="32"/>
      <c r="T848" s="32"/>
      <c r="U848" s="32"/>
      <c r="V848" s="32"/>
      <c r="W848" s="32"/>
      <c r="X848" s="32"/>
    </row>
    <row r="849">
      <c r="A849" s="67"/>
      <c r="B849" s="81"/>
      <c r="C849" s="79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32"/>
      <c r="S849" s="32"/>
      <c r="T849" s="32"/>
      <c r="U849" s="32"/>
      <c r="V849" s="32"/>
      <c r="W849" s="32"/>
      <c r="X849" s="32"/>
    </row>
    <row r="850">
      <c r="A850" s="67"/>
      <c r="B850" s="81"/>
      <c r="C850" s="79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32"/>
      <c r="S850" s="32"/>
      <c r="T850" s="32"/>
      <c r="U850" s="32"/>
      <c r="V850" s="32"/>
      <c r="W850" s="32"/>
      <c r="X850" s="32"/>
    </row>
    <row r="851">
      <c r="A851" s="67"/>
      <c r="B851" s="81"/>
      <c r="C851" s="79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32"/>
      <c r="S851" s="32"/>
      <c r="T851" s="32"/>
      <c r="U851" s="32"/>
      <c r="V851" s="32"/>
      <c r="W851" s="32"/>
      <c r="X851" s="32"/>
    </row>
    <row r="852">
      <c r="A852" s="67"/>
      <c r="B852" s="81"/>
      <c r="C852" s="79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32"/>
      <c r="S852" s="32"/>
      <c r="T852" s="32"/>
      <c r="U852" s="32"/>
      <c r="V852" s="32"/>
      <c r="W852" s="32"/>
      <c r="X852" s="32"/>
    </row>
    <row r="853">
      <c r="A853" s="67"/>
      <c r="B853" s="81"/>
      <c r="C853" s="79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32"/>
      <c r="S853" s="32"/>
      <c r="T853" s="32"/>
      <c r="U853" s="32"/>
      <c r="V853" s="32"/>
      <c r="W853" s="32"/>
      <c r="X853" s="32"/>
    </row>
    <row r="854">
      <c r="A854" s="67"/>
      <c r="B854" s="81"/>
      <c r="C854" s="79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32"/>
      <c r="S854" s="32"/>
      <c r="T854" s="32"/>
      <c r="U854" s="32"/>
      <c r="V854" s="32"/>
      <c r="W854" s="32"/>
      <c r="X854" s="32"/>
    </row>
    <row r="855">
      <c r="A855" s="67"/>
      <c r="B855" s="81"/>
      <c r="C855" s="79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32"/>
      <c r="S855" s="32"/>
      <c r="T855" s="32"/>
      <c r="U855" s="32"/>
      <c r="V855" s="32"/>
      <c r="W855" s="32"/>
      <c r="X855" s="32"/>
    </row>
    <row r="856">
      <c r="A856" s="67"/>
      <c r="B856" s="81"/>
      <c r="C856" s="79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32"/>
      <c r="S856" s="32"/>
      <c r="T856" s="32"/>
      <c r="U856" s="32"/>
      <c r="V856" s="32"/>
      <c r="W856" s="32"/>
      <c r="X856" s="32"/>
    </row>
    <row r="857">
      <c r="A857" s="67"/>
      <c r="B857" s="81"/>
      <c r="C857" s="79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32"/>
      <c r="S857" s="32"/>
      <c r="T857" s="32"/>
      <c r="U857" s="32"/>
      <c r="V857" s="32"/>
      <c r="W857" s="32"/>
      <c r="X857" s="32"/>
    </row>
    <row r="858">
      <c r="A858" s="67"/>
      <c r="B858" s="81"/>
      <c r="C858" s="79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32"/>
      <c r="S858" s="32"/>
      <c r="T858" s="32"/>
      <c r="U858" s="32"/>
      <c r="V858" s="32"/>
      <c r="W858" s="32"/>
      <c r="X858" s="32"/>
    </row>
    <row r="859">
      <c r="A859" s="67"/>
      <c r="B859" s="81"/>
      <c r="C859" s="79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32"/>
      <c r="S859" s="32"/>
      <c r="T859" s="32"/>
      <c r="U859" s="32"/>
      <c r="V859" s="32"/>
      <c r="W859" s="32"/>
      <c r="X859" s="32"/>
    </row>
    <row r="860">
      <c r="A860" s="67"/>
      <c r="B860" s="81"/>
      <c r="C860" s="79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32"/>
      <c r="S860" s="32"/>
      <c r="T860" s="32"/>
      <c r="U860" s="32"/>
      <c r="V860" s="32"/>
      <c r="W860" s="32"/>
      <c r="X860" s="32"/>
    </row>
    <row r="861">
      <c r="A861" s="67"/>
      <c r="B861" s="81"/>
      <c r="C861" s="79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32"/>
      <c r="S861" s="32"/>
      <c r="T861" s="32"/>
      <c r="U861" s="32"/>
      <c r="V861" s="32"/>
      <c r="W861" s="32"/>
      <c r="X861" s="32"/>
    </row>
    <row r="862">
      <c r="A862" s="67"/>
      <c r="B862" s="81"/>
      <c r="C862" s="79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32"/>
      <c r="S862" s="32"/>
      <c r="T862" s="32"/>
      <c r="U862" s="32"/>
      <c r="V862" s="32"/>
      <c r="W862" s="32"/>
      <c r="X862" s="32"/>
    </row>
    <row r="863">
      <c r="A863" s="67"/>
      <c r="B863" s="81"/>
      <c r="C863" s="79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32"/>
      <c r="S863" s="32"/>
      <c r="T863" s="32"/>
      <c r="U863" s="32"/>
      <c r="V863" s="32"/>
      <c r="W863" s="32"/>
      <c r="X863" s="32"/>
    </row>
    <row r="864">
      <c r="A864" s="67"/>
      <c r="B864" s="81"/>
      <c r="C864" s="79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32"/>
      <c r="S864" s="32"/>
      <c r="T864" s="32"/>
      <c r="U864" s="32"/>
      <c r="V864" s="32"/>
      <c r="W864" s="32"/>
      <c r="X864" s="32"/>
    </row>
    <row r="865">
      <c r="A865" s="67"/>
      <c r="B865" s="81"/>
      <c r="C865" s="79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32"/>
      <c r="S865" s="32"/>
      <c r="T865" s="32"/>
      <c r="U865" s="32"/>
      <c r="V865" s="32"/>
      <c r="W865" s="32"/>
      <c r="X865" s="32"/>
    </row>
    <row r="866">
      <c r="A866" s="67"/>
      <c r="B866" s="81"/>
      <c r="C866" s="79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32"/>
      <c r="S866" s="32"/>
      <c r="T866" s="32"/>
      <c r="U866" s="32"/>
      <c r="V866" s="32"/>
      <c r="W866" s="32"/>
      <c r="X866" s="32"/>
    </row>
    <row r="867">
      <c r="A867" s="67"/>
      <c r="B867" s="81"/>
      <c r="C867" s="79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32"/>
      <c r="S867" s="32"/>
      <c r="T867" s="32"/>
      <c r="U867" s="32"/>
      <c r="V867" s="32"/>
      <c r="W867" s="32"/>
      <c r="X867" s="32"/>
    </row>
    <row r="868">
      <c r="A868" s="67"/>
      <c r="B868" s="81"/>
      <c r="C868" s="79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32"/>
      <c r="S868" s="32"/>
      <c r="T868" s="32"/>
      <c r="U868" s="32"/>
      <c r="V868" s="32"/>
      <c r="W868" s="32"/>
      <c r="X868" s="32"/>
    </row>
    <row r="869">
      <c r="A869" s="67"/>
      <c r="B869" s="81"/>
      <c r="C869" s="79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32"/>
      <c r="S869" s="32"/>
      <c r="T869" s="32"/>
      <c r="U869" s="32"/>
      <c r="V869" s="32"/>
      <c r="W869" s="32"/>
      <c r="X869" s="32"/>
    </row>
    <row r="870">
      <c r="A870" s="67"/>
      <c r="B870" s="81"/>
      <c r="C870" s="79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32"/>
      <c r="S870" s="32"/>
      <c r="T870" s="32"/>
      <c r="U870" s="32"/>
      <c r="V870" s="32"/>
      <c r="W870" s="32"/>
      <c r="X870" s="32"/>
    </row>
    <row r="871">
      <c r="A871" s="67"/>
      <c r="B871" s="81"/>
      <c r="C871" s="79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32"/>
      <c r="S871" s="32"/>
      <c r="T871" s="32"/>
      <c r="U871" s="32"/>
      <c r="V871" s="32"/>
      <c r="W871" s="32"/>
      <c r="X871" s="32"/>
    </row>
    <row r="872">
      <c r="A872" s="67"/>
      <c r="B872" s="81"/>
      <c r="C872" s="79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32"/>
      <c r="S872" s="32"/>
      <c r="T872" s="32"/>
      <c r="U872" s="32"/>
      <c r="V872" s="32"/>
      <c r="W872" s="32"/>
      <c r="X872" s="32"/>
    </row>
    <row r="873">
      <c r="A873" s="67"/>
      <c r="B873" s="81"/>
      <c r="C873" s="79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32"/>
      <c r="S873" s="32"/>
      <c r="T873" s="32"/>
      <c r="U873" s="32"/>
      <c r="V873" s="32"/>
      <c r="W873" s="32"/>
      <c r="X873" s="32"/>
    </row>
    <row r="874">
      <c r="A874" s="67"/>
      <c r="B874" s="81"/>
      <c r="C874" s="79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32"/>
      <c r="S874" s="32"/>
      <c r="T874" s="32"/>
      <c r="U874" s="32"/>
      <c r="V874" s="32"/>
      <c r="W874" s="32"/>
      <c r="X874" s="32"/>
    </row>
    <row r="875">
      <c r="A875" s="67"/>
      <c r="B875" s="81"/>
      <c r="C875" s="79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32"/>
      <c r="S875" s="32"/>
      <c r="T875" s="32"/>
      <c r="U875" s="32"/>
      <c r="V875" s="32"/>
      <c r="W875" s="32"/>
      <c r="X875" s="32"/>
    </row>
    <row r="876">
      <c r="A876" s="67"/>
      <c r="B876" s="81"/>
      <c r="C876" s="79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32"/>
      <c r="S876" s="32"/>
      <c r="T876" s="32"/>
      <c r="U876" s="32"/>
      <c r="V876" s="32"/>
      <c r="W876" s="32"/>
      <c r="X876" s="32"/>
    </row>
    <row r="877">
      <c r="A877" s="67"/>
      <c r="B877" s="81"/>
      <c r="C877" s="79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32"/>
      <c r="S877" s="32"/>
      <c r="T877" s="32"/>
      <c r="U877" s="32"/>
      <c r="V877" s="32"/>
      <c r="W877" s="32"/>
      <c r="X877" s="32"/>
    </row>
    <row r="878">
      <c r="A878" s="67"/>
      <c r="B878" s="81"/>
      <c r="C878" s="79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32"/>
      <c r="S878" s="32"/>
      <c r="T878" s="32"/>
      <c r="U878" s="32"/>
      <c r="V878" s="32"/>
      <c r="W878" s="32"/>
      <c r="X878" s="32"/>
    </row>
    <row r="879">
      <c r="A879" s="67"/>
      <c r="B879" s="81"/>
      <c r="C879" s="79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32"/>
      <c r="S879" s="32"/>
      <c r="T879" s="32"/>
      <c r="U879" s="32"/>
      <c r="V879" s="32"/>
      <c r="W879" s="32"/>
      <c r="X879" s="32"/>
    </row>
    <row r="880">
      <c r="A880" s="67"/>
      <c r="B880" s="81"/>
      <c r="C880" s="79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32"/>
      <c r="S880" s="32"/>
      <c r="T880" s="32"/>
      <c r="U880" s="32"/>
      <c r="V880" s="32"/>
      <c r="W880" s="32"/>
      <c r="X880" s="32"/>
    </row>
    <row r="881">
      <c r="A881" s="67"/>
      <c r="B881" s="81"/>
      <c r="C881" s="79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32"/>
      <c r="S881" s="32"/>
      <c r="T881" s="32"/>
      <c r="U881" s="32"/>
      <c r="V881" s="32"/>
      <c r="W881" s="32"/>
      <c r="X881" s="32"/>
    </row>
    <row r="882">
      <c r="A882" s="67"/>
      <c r="B882" s="81"/>
      <c r="C882" s="79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32"/>
      <c r="S882" s="32"/>
      <c r="T882" s="32"/>
      <c r="U882" s="32"/>
      <c r="V882" s="32"/>
      <c r="W882" s="32"/>
      <c r="X882" s="32"/>
    </row>
    <row r="883">
      <c r="A883" s="67"/>
      <c r="B883" s="81"/>
      <c r="C883" s="79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32"/>
      <c r="S883" s="32"/>
      <c r="T883" s="32"/>
      <c r="U883" s="32"/>
      <c r="V883" s="32"/>
      <c r="W883" s="32"/>
      <c r="X883" s="32"/>
    </row>
    <row r="884">
      <c r="A884" s="67"/>
      <c r="B884" s="81"/>
      <c r="C884" s="79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32"/>
      <c r="S884" s="32"/>
      <c r="T884" s="32"/>
      <c r="U884" s="32"/>
      <c r="V884" s="32"/>
      <c r="W884" s="32"/>
      <c r="X884" s="32"/>
    </row>
    <row r="885">
      <c r="A885" s="67"/>
      <c r="B885" s="81"/>
      <c r="C885" s="79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32"/>
      <c r="S885" s="32"/>
      <c r="T885" s="32"/>
      <c r="U885" s="32"/>
      <c r="V885" s="32"/>
      <c r="W885" s="32"/>
      <c r="X885" s="32"/>
    </row>
    <row r="886">
      <c r="A886" s="67"/>
      <c r="B886" s="81"/>
      <c r="C886" s="79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32"/>
      <c r="S886" s="32"/>
      <c r="T886" s="32"/>
      <c r="U886" s="32"/>
      <c r="V886" s="32"/>
      <c r="W886" s="32"/>
      <c r="X886" s="32"/>
    </row>
    <row r="887">
      <c r="A887" s="67"/>
      <c r="B887" s="81"/>
      <c r="C887" s="79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32"/>
      <c r="S887" s="32"/>
      <c r="T887" s="32"/>
      <c r="U887" s="32"/>
      <c r="V887" s="32"/>
      <c r="W887" s="32"/>
      <c r="X887" s="32"/>
    </row>
    <row r="888">
      <c r="A888" s="67"/>
      <c r="B888" s="81"/>
      <c r="C888" s="79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32"/>
      <c r="S888" s="32"/>
      <c r="T888" s="32"/>
      <c r="U888" s="32"/>
      <c r="V888" s="32"/>
      <c r="W888" s="32"/>
      <c r="X888" s="32"/>
    </row>
    <row r="889">
      <c r="A889" s="67"/>
      <c r="B889" s="81"/>
      <c r="C889" s="79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32"/>
      <c r="S889" s="32"/>
      <c r="T889" s="32"/>
      <c r="U889" s="32"/>
      <c r="V889" s="32"/>
      <c r="W889" s="32"/>
      <c r="X889" s="32"/>
    </row>
    <row r="890">
      <c r="A890" s="67"/>
      <c r="B890" s="81"/>
      <c r="C890" s="79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32"/>
      <c r="S890" s="32"/>
      <c r="T890" s="32"/>
      <c r="U890" s="32"/>
      <c r="V890" s="32"/>
      <c r="W890" s="32"/>
      <c r="X890" s="32"/>
    </row>
    <row r="891">
      <c r="A891" s="67"/>
      <c r="B891" s="81"/>
      <c r="C891" s="79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32"/>
      <c r="S891" s="32"/>
      <c r="T891" s="32"/>
      <c r="U891" s="32"/>
      <c r="V891" s="32"/>
      <c r="W891" s="32"/>
      <c r="X891" s="32"/>
    </row>
    <row r="892">
      <c r="A892" s="67"/>
      <c r="B892" s="81"/>
      <c r="C892" s="79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32"/>
      <c r="S892" s="32"/>
      <c r="T892" s="32"/>
      <c r="U892" s="32"/>
      <c r="V892" s="32"/>
      <c r="W892" s="32"/>
      <c r="X892" s="32"/>
    </row>
    <row r="893">
      <c r="A893" s="67"/>
      <c r="B893" s="81"/>
      <c r="C893" s="79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32"/>
      <c r="S893" s="32"/>
      <c r="T893" s="32"/>
      <c r="U893" s="32"/>
      <c r="V893" s="32"/>
      <c r="W893" s="32"/>
      <c r="X893" s="32"/>
    </row>
    <row r="894">
      <c r="A894" s="67"/>
      <c r="B894" s="81"/>
      <c r="C894" s="79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32"/>
      <c r="S894" s="32"/>
      <c r="T894" s="32"/>
      <c r="U894" s="32"/>
      <c r="V894" s="32"/>
      <c r="W894" s="32"/>
      <c r="X894" s="32"/>
    </row>
    <row r="895">
      <c r="A895" s="67"/>
      <c r="B895" s="81"/>
      <c r="C895" s="79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32"/>
      <c r="S895" s="32"/>
      <c r="T895" s="32"/>
      <c r="U895" s="32"/>
      <c r="V895" s="32"/>
      <c r="W895" s="32"/>
      <c r="X895" s="32"/>
    </row>
    <row r="896">
      <c r="A896" s="67"/>
      <c r="B896" s="81"/>
      <c r="C896" s="79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32"/>
      <c r="S896" s="32"/>
      <c r="T896" s="32"/>
      <c r="U896" s="32"/>
      <c r="V896" s="32"/>
      <c r="W896" s="32"/>
      <c r="X896" s="32"/>
    </row>
    <row r="897">
      <c r="A897" s="67"/>
      <c r="B897" s="81"/>
      <c r="C897" s="79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32"/>
      <c r="S897" s="32"/>
      <c r="T897" s="32"/>
      <c r="U897" s="32"/>
      <c r="V897" s="32"/>
      <c r="W897" s="32"/>
      <c r="X897" s="32"/>
    </row>
    <row r="898">
      <c r="A898" s="67"/>
      <c r="B898" s="81"/>
      <c r="C898" s="79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32"/>
      <c r="S898" s="32"/>
      <c r="T898" s="32"/>
      <c r="U898" s="32"/>
      <c r="V898" s="32"/>
      <c r="W898" s="32"/>
      <c r="X898" s="32"/>
    </row>
    <row r="899">
      <c r="A899" s="67"/>
      <c r="B899" s="81"/>
      <c r="C899" s="79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32"/>
      <c r="S899" s="32"/>
      <c r="T899" s="32"/>
      <c r="U899" s="32"/>
      <c r="V899" s="32"/>
      <c r="W899" s="32"/>
      <c r="X899" s="32"/>
    </row>
    <row r="900">
      <c r="A900" s="67"/>
      <c r="B900" s="81"/>
      <c r="C900" s="79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32"/>
      <c r="S900" s="32"/>
      <c r="T900" s="32"/>
      <c r="U900" s="32"/>
      <c r="V900" s="32"/>
      <c r="W900" s="32"/>
      <c r="X900" s="32"/>
    </row>
    <row r="901">
      <c r="A901" s="67"/>
      <c r="B901" s="81"/>
      <c r="C901" s="79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32"/>
      <c r="S901" s="32"/>
      <c r="T901" s="32"/>
      <c r="U901" s="32"/>
      <c r="V901" s="32"/>
      <c r="W901" s="32"/>
      <c r="X901" s="32"/>
    </row>
    <row r="902">
      <c r="A902" s="67"/>
      <c r="B902" s="81"/>
      <c r="C902" s="79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32"/>
      <c r="S902" s="32"/>
      <c r="T902" s="32"/>
      <c r="U902" s="32"/>
      <c r="V902" s="32"/>
      <c r="W902" s="32"/>
      <c r="X902" s="32"/>
    </row>
    <row r="903">
      <c r="A903" s="67"/>
      <c r="B903" s="81"/>
      <c r="C903" s="79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32"/>
      <c r="S903" s="32"/>
      <c r="T903" s="32"/>
      <c r="U903" s="32"/>
      <c r="V903" s="32"/>
      <c r="W903" s="32"/>
      <c r="X903" s="32"/>
    </row>
    <row r="904">
      <c r="A904" s="67"/>
      <c r="B904" s="81"/>
      <c r="C904" s="79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32"/>
      <c r="S904" s="32"/>
      <c r="T904" s="32"/>
      <c r="U904" s="32"/>
      <c r="V904" s="32"/>
      <c r="W904" s="32"/>
      <c r="X904" s="32"/>
    </row>
    <row r="905">
      <c r="A905" s="67"/>
      <c r="B905" s="81"/>
      <c r="C905" s="79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32"/>
      <c r="S905" s="32"/>
      <c r="T905" s="32"/>
      <c r="U905" s="32"/>
      <c r="V905" s="32"/>
      <c r="W905" s="32"/>
      <c r="X905" s="32"/>
    </row>
    <row r="906">
      <c r="A906" s="67"/>
      <c r="B906" s="81"/>
      <c r="C906" s="79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32"/>
      <c r="S906" s="32"/>
      <c r="T906" s="32"/>
      <c r="U906" s="32"/>
      <c r="V906" s="32"/>
      <c r="W906" s="32"/>
      <c r="X906" s="32"/>
    </row>
    <row r="907">
      <c r="A907" s="67"/>
      <c r="B907" s="81"/>
      <c r="C907" s="79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32"/>
      <c r="S907" s="32"/>
      <c r="T907" s="32"/>
      <c r="U907" s="32"/>
      <c r="V907" s="32"/>
      <c r="W907" s="32"/>
      <c r="X907" s="32"/>
    </row>
    <row r="908">
      <c r="A908" s="67"/>
      <c r="B908" s="81"/>
      <c r="C908" s="79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32"/>
      <c r="S908" s="32"/>
      <c r="T908" s="32"/>
      <c r="U908" s="32"/>
      <c r="V908" s="32"/>
      <c r="W908" s="32"/>
      <c r="X908" s="32"/>
    </row>
    <row r="909">
      <c r="A909" s="67"/>
      <c r="B909" s="81"/>
      <c r="C909" s="79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32"/>
      <c r="S909" s="32"/>
      <c r="T909" s="32"/>
      <c r="U909" s="32"/>
      <c r="V909" s="32"/>
      <c r="W909" s="32"/>
      <c r="X909" s="32"/>
    </row>
    <row r="910">
      <c r="A910" s="67"/>
      <c r="B910" s="81"/>
      <c r="C910" s="79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32"/>
      <c r="S910" s="32"/>
      <c r="T910" s="32"/>
      <c r="U910" s="32"/>
      <c r="V910" s="32"/>
      <c r="W910" s="32"/>
      <c r="X910" s="32"/>
    </row>
    <row r="911">
      <c r="A911" s="67"/>
      <c r="B911" s="81"/>
      <c r="C911" s="79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32"/>
      <c r="S911" s="32"/>
      <c r="T911" s="32"/>
      <c r="U911" s="32"/>
      <c r="V911" s="32"/>
      <c r="W911" s="32"/>
      <c r="X911" s="32"/>
    </row>
    <row r="912">
      <c r="A912" s="67"/>
      <c r="B912" s="81"/>
      <c r="C912" s="79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32"/>
      <c r="S912" s="32"/>
      <c r="T912" s="32"/>
      <c r="U912" s="32"/>
      <c r="V912" s="32"/>
      <c r="W912" s="32"/>
      <c r="X912" s="32"/>
    </row>
    <row r="913">
      <c r="A913" s="67"/>
      <c r="B913" s="81"/>
      <c r="C913" s="79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32"/>
      <c r="S913" s="32"/>
      <c r="T913" s="32"/>
      <c r="U913" s="32"/>
      <c r="V913" s="32"/>
      <c r="W913" s="32"/>
      <c r="X913" s="32"/>
    </row>
    <row r="914">
      <c r="A914" s="67"/>
      <c r="B914" s="81"/>
      <c r="C914" s="79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32"/>
      <c r="S914" s="32"/>
      <c r="T914" s="32"/>
      <c r="U914" s="32"/>
      <c r="V914" s="32"/>
      <c r="W914" s="32"/>
      <c r="X914" s="32"/>
    </row>
    <row r="915">
      <c r="A915" s="67"/>
      <c r="B915" s="81"/>
      <c r="C915" s="79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32"/>
      <c r="S915" s="32"/>
      <c r="T915" s="32"/>
      <c r="U915" s="32"/>
      <c r="V915" s="32"/>
      <c r="W915" s="32"/>
      <c r="X915" s="32"/>
    </row>
    <row r="916">
      <c r="A916" s="67"/>
      <c r="B916" s="81"/>
      <c r="C916" s="79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32"/>
      <c r="S916" s="32"/>
      <c r="T916" s="32"/>
      <c r="U916" s="32"/>
      <c r="V916" s="32"/>
      <c r="W916" s="32"/>
      <c r="X916" s="32"/>
    </row>
    <row r="917">
      <c r="A917" s="67"/>
      <c r="B917" s="81"/>
      <c r="C917" s="79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32"/>
      <c r="S917" s="32"/>
      <c r="T917" s="32"/>
      <c r="U917" s="32"/>
      <c r="V917" s="32"/>
      <c r="W917" s="32"/>
      <c r="X917" s="32"/>
    </row>
    <row r="918">
      <c r="A918" s="67"/>
      <c r="B918" s="81"/>
      <c r="C918" s="79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32"/>
      <c r="S918" s="32"/>
      <c r="T918" s="32"/>
      <c r="U918" s="32"/>
      <c r="V918" s="32"/>
      <c r="W918" s="32"/>
      <c r="X918" s="32"/>
    </row>
    <row r="919">
      <c r="A919" s="67"/>
      <c r="B919" s="81"/>
      <c r="C919" s="79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32"/>
      <c r="S919" s="32"/>
      <c r="T919" s="32"/>
      <c r="U919" s="32"/>
      <c r="V919" s="32"/>
      <c r="W919" s="32"/>
      <c r="X919" s="32"/>
    </row>
    <row r="920">
      <c r="A920" s="67"/>
      <c r="B920" s="81"/>
      <c r="C920" s="79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32"/>
      <c r="S920" s="32"/>
      <c r="T920" s="32"/>
      <c r="U920" s="32"/>
      <c r="V920" s="32"/>
      <c r="W920" s="32"/>
      <c r="X920" s="32"/>
    </row>
    <row r="921">
      <c r="A921" s="67"/>
      <c r="B921" s="81"/>
      <c r="C921" s="79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32"/>
      <c r="S921" s="32"/>
      <c r="T921" s="32"/>
      <c r="U921" s="32"/>
      <c r="V921" s="32"/>
      <c r="W921" s="32"/>
      <c r="X921" s="32"/>
    </row>
    <row r="922">
      <c r="A922" s="67"/>
      <c r="B922" s="81"/>
      <c r="C922" s="79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32"/>
      <c r="S922" s="32"/>
      <c r="T922" s="32"/>
      <c r="U922" s="32"/>
      <c r="V922" s="32"/>
      <c r="W922" s="32"/>
      <c r="X922" s="32"/>
    </row>
    <row r="923">
      <c r="A923" s="67"/>
      <c r="B923" s="81"/>
      <c r="C923" s="79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32"/>
      <c r="S923" s="32"/>
      <c r="T923" s="32"/>
      <c r="U923" s="32"/>
      <c r="V923" s="32"/>
      <c r="W923" s="32"/>
      <c r="X923" s="32"/>
    </row>
    <row r="924">
      <c r="A924" s="67"/>
      <c r="B924" s="81"/>
      <c r="C924" s="79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32"/>
      <c r="S924" s="32"/>
      <c r="T924" s="32"/>
      <c r="U924" s="32"/>
      <c r="V924" s="32"/>
      <c r="W924" s="32"/>
      <c r="X924" s="32"/>
    </row>
    <row r="925">
      <c r="A925" s="67"/>
      <c r="B925" s="81"/>
      <c r="C925" s="79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32"/>
      <c r="S925" s="32"/>
      <c r="T925" s="32"/>
      <c r="U925" s="32"/>
      <c r="V925" s="32"/>
      <c r="W925" s="32"/>
      <c r="X925" s="32"/>
    </row>
    <row r="926">
      <c r="A926" s="67"/>
      <c r="B926" s="81"/>
      <c r="C926" s="79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32"/>
      <c r="S926" s="32"/>
      <c r="T926" s="32"/>
      <c r="U926" s="32"/>
      <c r="V926" s="32"/>
      <c r="W926" s="32"/>
      <c r="X926" s="32"/>
    </row>
    <row r="927">
      <c r="A927" s="67"/>
      <c r="B927" s="81"/>
      <c r="C927" s="79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32"/>
      <c r="S927" s="32"/>
      <c r="T927" s="32"/>
      <c r="U927" s="32"/>
      <c r="V927" s="32"/>
      <c r="W927" s="32"/>
      <c r="X927" s="32"/>
    </row>
    <row r="928">
      <c r="A928" s="67"/>
      <c r="B928" s="81"/>
      <c r="C928" s="79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32"/>
      <c r="S928" s="32"/>
      <c r="T928" s="32"/>
      <c r="U928" s="32"/>
      <c r="V928" s="32"/>
      <c r="W928" s="32"/>
      <c r="X928" s="32"/>
    </row>
    <row r="929">
      <c r="A929" s="67"/>
      <c r="B929" s="81"/>
      <c r="C929" s="79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32"/>
      <c r="S929" s="32"/>
      <c r="T929" s="32"/>
      <c r="U929" s="32"/>
      <c r="V929" s="32"/>
      <c r="W929" s="32"/>
      <c r="X929" s="32"/>
    </row>
    <row r="930">
      <c r="A930" s="67"/>
      <c r="B930" s="81"/>
      <c r="C930" s="79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32"/>
      <c r="S930" s="32"/>
      <c r="T930" s="32"/>
      <c r="U930" s="32"/>
      <c r="V930" s="32"/>
      <c r="W930" s="32"/>
      <c r="X930" s="32"/>
    </row>
    <row r="931">
      <c r="A931" s="67"/>
      <c r="B931" s="81"/>
      <c r="C931" s="79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32"/>
      <c r="S931" s="32"/>
      <c r="T931" s="32"/>
      <c r="U931" s="32"/>
      <c r="V931" s="32"/>
      <c r="W931" s="32"/>
      <c r="X931" s="32"/>
    </row>
    <row r="932">
      <c r="A932" s="67"/>
      <c r="B932" s="81"/>
      <c r="C932" s="79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32"/>
      <c r="S932" s="32"/>
      <c r="T932" s="32"/>
      <c r="U932" s="32"/>
      <c r="V932" s="32"/>
      <c r="W932" s="32"/>
      <c r="X932" s="32"/>
    </row>
    <row r="933">
      <c r="A933" s="67"/>
      <c r="B933" s="81"/>
      <c r="C933" s="79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32"/>
      <c r="S933" s="32"/>
      <c r="T933" s="32"/>
      <c r="U933" s="32"/>
      <c r="V933" s="32"/>
      <c r="W933" s="32"/>
      <c r="X933" s="32"/>
    </row>
    <row r="934">
      <c r="A934" s="67"/>
      <c r="B934" s="81"/>
      <c r="C934" s="79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32"/>
      <c r="S934" s="32"/>
      <c r="T934" s="32"/>
      <c r="U934" s="32"/>
      <c r="V934" s="32"/>
      <c r="W934" s="32"/>
      <c r="X934" s="32"/>
    </row>
    <row r="935">
      <c r="A935" s="67"/>
      <c r="B935" s="81"/>
      <c r="C935" s="79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32"/>
      <c r="S935" s="32"/>
      <c r="T935" s="32"/>
      <c r="U935" s="32"/>
      <c r="V935" s="32"/>
      <c r="W935" s="32"/>
      <c r="X935" s="32"/>
    </row>
    <row r="936">
      <c r="A936" s="67"/>
      <c r="B936" s="81"/>
      <c r="C936" s="79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32"/>
      <c r="S936" s="32"/>
      <c r="T936" s="32"/>
      <c r="U936" s="32"/>
      <c r="V936" s="32"/>
      <c r="W936" s="32"/>
      <c r="X936" s="32"/>
    </row>
    <row r="937">
      <c r="A937" s="67"/>
      <c r="B937" s="81"/>
      <c r="C937" s="79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32"/>
      <c r="S937" s="32"/>
      <c r="T937" s="32"/>
      <c r="U937" s="32"/>
      <c r="V937" s="32"/>
      <c r="W937" s="32"/>
      <c r="X937" s="32"/>
    </row>
    <row r="938">
      <c r="A938" s="67"/>
      <c r="B938" s="81"/>
      <c r="C938" s="79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32"/>
      <c r="S938" s="32"/>
      <c r="T938" s="32"/>
      <c r="U938" s="32"/>
      <c r="V938" s="32"/>
      <c r="W938" s="32"/>
      <c r="X938" s="32"/>
    </row>
    <row r="939">
      <c r="A939" s="67"/>
      <c r="B939" s="81"/>
      <c r="C939" s="79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32"/>
      <c r="S939" s="32"/>
      <c r="T939" s="32"/>
      <c r="U939" s="32"/>
      <c r="V939" s="32"/>
      <c r="W939" s="32"/>
      <c r="X939" s="32"/>
    </row>
    <row r="940">
      <c r="A940" s="67"/>
      <c r="B940" s="81"/>
      <c r="C940" s="79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32"/>
      <c r="S940" s="32"/>
      <c r="T940" s="32"/>
      <c r="U940" s="32"/>
      <c r="V940" s="32"/>
      <c r="W940" s="32"/>
      <c r="X940" s="32"/>
    </row>
    <row r="941">
      <c r="A941" s="67"/>
      <c r="B941" s="81"/>
      <c r="C941" s="79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32"/>
      <c r="S941" s="32"/>
      <c r="T941" s="32"/>
      <c r="U941" s="32"/>
      <c r="V941" s="32"/>
      <c r="W941" s="32"/>
      <c r="X941" s="32"/>
    </row>
    <row r="942">
      <c r="A942" s="67"/>
      <c r="B942" s="81"/>
      <c r="C942" s="79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32"/>
      <c r="S942" s="32"/>
      <c r="T942" s="32"/>
      <c r="U942" s="32"/>
      <c r="V942" s="32"/>
      <c r="W942" s="32"/>
      <c r="X942" s="32"/>
    </row>
    <row r="943">
      <c r="A943" s="67"/>
      <c r="B943" s="81"/>
      <c r="C943" s="79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32"/>
      <c r="S943" s="32"/>
      <c r="T943" s="32"/>
      <c r="U943" s="32"/>
      <c r="V943" s="32"/>
      <c r="W943" s="32"/>
      <c r="X943" s="32"/>
    </row>
    <row r="944">
      <c r="A944" s="67"/>
      <c r="B944" s="81"/>
      <c r="C944" s="79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32"/>
      <c r="S944" s="32"/>
      <c r="T944" s="32"/>
      <c r="U944" s="32"/>
      <c r="V944" s="32"/>
      <c r="W944" s="32"/>
      <c r="X944" s="32"/>
    </row>
    <row r="945">
      <c r="A945" s="67"/>
      <c r="B945" s="81"/>
      <c r="C945" s="79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32"/>
      <c r="S945" s="32"/>
      <c r="T945" s="32"/>
      <c r="U945" s="32"/>
      <c r="V945" s="32"/>
      <c r="W945" s="32"/>
      <c r="X945" s="32"/>
    </row>
    <row r="946">
      <c r="A946" s="67"/>
      <c r="B946" s="81"/>
      <c r="C946" s="79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32"/>
      <c r="S946" s="32"/>
      <c r="T946" s="32"/>
      <c r="U946" s="32"/>
      <c r="V946" s="32"/>
      <c r="W946" s="32"/>
      <c r="X946" s="32"/>
    </row>
    <row r="947">
      <c r="A947" s="67"/>
      <c r="B947" s="81"/>
      <c r="C947" s="79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32"/>
      <c r="S947" s="32"/>
      <c r="T947" s="32"/>
      <c r="U947" s="32"/>
      <c r="V947" s="32"/>
      <c r="W947" s="32"/>
      <c r="X947" s="32"/>
    </row>
    <row r="948">
      <c r="A948" s="67"/>
      <c r="B948" s="81"/>
      <c r="C948" s="79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32"/>
      <c r="S948" s="32"/>
      <c r="T948" s="32"/>
      <c r="U948" s="32"/>
      <c r="V948" s="32"/>
      <c r="W948" s="32"/>
      <c r="X948" s="32"/>
    </row>
    <row r="949">
      <c r="A949" s="67"/>
      <c r="B949" s="81"/>
      <c r="C949" s="79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32"/>
      <c r="S949" s="32"/>
      <c r="T949" s="32"/>
      <c r="U949" s="32"/>
      <c r="V949" s="32"/>
      <c r="W949" s="32"/>
      <c r="X949" s="32"/>
    </row>
    <row r="950">
      <c r="A950" s="67"/>
      <c r="B950" s="81"/>
      <c r="C950" s="79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32"/>
      <c r="S950" s="32"/>
      <c r="T950" s="32"/>
      <c r="U950" s="32"/>
      <c r="V950" s="32"/>
      <c r="W950" s="32"/>
      <c r="X950" s="32"/>
    </row>
    <row r="951">
      <c r="A951" s="67"/>
      <c r="B951" s="81"/>
      <c r="C951" s="79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32"/>
      <c r="S951" s="32"/>
      <c r="T951" s="32"/>
      <c r="U951" s="32"/>
      <c r="V951" s="32"/>
      <c r="W951" s="32"/>
      <c r="X951" s="32"/>
    </row>
    <row r="952">
      <c r="A952" s="67"/>
      <c r="B952" s="81"/>
      <c r="C952" s="79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32"/>
      <c r="S952" s="32"/>
      <c r="T952" s="32"/>
      <c r="U952" s="32"/>
      <c r="V952" s="32"/>
      <c r="W952" s="32"/>
      <c r="X952" s="32"/>
    </row>
    <row r="953">
      <c r="A953" s="67"/>
      <c r="B953" s="81"/>
      <c r="C953" s="79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32"/>
      <c r="S953" s="32"/>
      <c r="T953" s="32"/>
      <c r="U953" s="32"/>
      <c r="V953" s="32"/>
      <c r="W953" s="32"/>
      <c r="X953" s="32"/>
    </row>
    <row r="954">
      <c r="A954" s="67"/>
      <c r="B954" s="81"/>
      <c r="C954" s="79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32"/>
      <c r="S954" s="32"/>
      <c r="T954" s="32"/>
      <c r="U954" s="32"/>
      <c r="V954" s="32"/>
      <c r="W954" s="32"/>
      <c r="X954" s="32"/>
    </row>
    <row r="955">
      <c r="A955" s="67"/>
      <c r="B955" s="81"/>
      <c r="C955" s="79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32"/>
      <c r="S955" s="32"/>
      <c r="T955" s="32"/>
      <c r="U955" s="32"/>
      <c r="V955" s="32"/>
      <c r="W955" s="32"/>
      <c r="X955" s="32"/>
    </row>
    <row r="956">
      <c r="A956" s="67"/>
      <c r="B956" s="81"/>
      <c r="C956" s="79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32"/>
      <c r="S956" s="32"/>
      <c r="T956" s="32"/>
      <c r="U956" s="32"/>
      <c r="V956" s="32"/>
      <c r="W956" s="32"/>
      <c r="X956" s="32"/>
    </row>
    <row r="957">
      <c r="A957" s="67"/>
      <c r="B957" s="81"/>
      <c r="C957" s="79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32"/>
      <c r="S957" s="32"/>
      <c r="T957" s="32"/>
      <c r="U957" s="32"/>
      <c r="V957" s="32"/>
      <c r="W957" s="32"/>
      <c r="X957" s="32"/>
    </row>
    <row r="958">
      <c r="A958" s="67"/>
      <c r="B958" s="81"/>
      <c r="C958" s="79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32"/>
      <c r="S958" s="32"/>
      <c r="T958" s="32"/>
      <c r="U958" s="32"/>
      <c r="V958" s="32"/>
      <c r="W958" s="32"/>
      <c r="X958" s="32"/>
    </row>
    <row r="959">
      <c r="A959" s="67"/>
      <c r="B959" s="81"/>
      <c r="C959" s="79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32"/>
      <c r="S959" s="32"/>
      <c r="T959" s="32"/>
      <c r="U959" s="32"/>
      <c r="V959" s="32"/>
      <c r="W959" s="32"/>
      <c r="X959" s="32"/>
    </row>
    <row r="960">
      <c r="A960" s="67"/>
      <c r="B960" s="81"/>
      <c r="C960" s="79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32"/>
      <c r="S960" s="32"/>
      <c r="T960" s="32"/>
      <c r="U960" s="32"/>
      <c r="V960" s="32"/>
      <c r="W960" s="32"/>
      <c r="X960" s="32"/>
    </row>
    <row r="961">
      <c r="A961" s="67"/>
      <c r="B961" s="81"/>
      <c r="C961" s="79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32"/>
      <c r="S961" s="32"/>
      <c r="T961" s="32"/>
      <c r="U961" s="32"/>
      <c r="V961" s="32"/>
      <c r="W961" s="32"/>
      <c r="X961" s="32"/>
    </row>
    <row r="962">
      <c r="A962" s="67"/>
      <c r="B962" s="81"/>
      <c r="C962" s="79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32"/>
      <c r="S962" s="32"/>
      <c r="T962" s="32"/>
      <c r="U962" s="32"/>
      <c r="V962" s="32"/>
      <c r="W962" s="32"/>
      <c r="X962" s="32"/>
    </row>
    <row r="963">
      <c r="A963" s="67"/>
      <c r="B963" s="81"/>
      <c r="C963" s="79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32"/>
      <c r="S963" s="32"/>
      <c r="T963" s="32"/>
      <c r="U963" s="32"/>
      <c r="V963" s="32"/>
      <c r="W963" s="32"/>
      <c r="X963" s="32"/>
    </row>
    <row r="964">
      <c r="A964" s="67"/>
      <c r="B964" s="81"/>
      <c r="C964" s="79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32"/>
      <c r="S964" s="32"/>
      <c r="T964" s="32"/>
      <c r="U964" s="32"/>
      <c r="V964" s="32"/>
      <c r="W964" s="32"/>
      <c r="X964" s="32"/>
    </row>
    <row r="965">
      <c r="A965" s="67"/>
      <c r="B965" s="81"/>
      <c r="C965" s="79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32"/>
      <c r="S965" s="32"/>
      <c r="T965" s="32"/>
      <c r="U965" s="32"/>
      <c r="V965" s="32"/>
      <c r="W965" s="32"/>
      <c r="X965" s="32"/>
    </row>
    <row r="966">
      <c r="A966" s="67"/>
      <c r="B966" s="81"/>
      <c r="C966" s="79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32"/>
      <c r="S966" s="32"/>
      <c r="T966" s="32"/>
      <c r="U966" s="32"/>
      <c r="V966" s="32"/>
      <c r="W966" s="32"/>
      <c r="X966" s="32"/>
    </row>
    <row r="967">
      <c r="A967" s="67"/>
      <c r="B967" s="81"/>
      <c r="C967" s="79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32"/>
      <c r="S967" s="32"/>
      <c r="T967" s="32"/>
      <c r="U967" s="32"/>
      <c r="V967" s="32"/>
      <c r="W967" s="32"/>
      <c r="X967" s="32"/>
    </row>
    <row r="968">
      <c r="A968" s="67"/>
      <c r="B968" s="81"/>
      <c r="C968" s="79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32"/>
      <c r="S968" s="32"/>
      <c r="T968" s="32"/>
      <c r="U968" s="32"/>
      <c r="V968" s="32"/>
      <c r="W968" s="32"/>
      <c r="X968" s="32"/>
    </row>
    <row r="969">
      <c r="A969" s="67"/>
      <c r="B969" s="81"/>
      <c r="C969" s="79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32"/>
      <c r="S969" s="32"/>
      <c r="T969" s="32"/>
      <c r="U969" s="32"/>
      <c r="V969" s="32"/>
      <c r="W969" s="32"/>
      <c r="X969" s="32"/>
    </row>
    <row r="970">
      <c r="A970" s="67"/>
      <c r="B970" s="81"/>
      <c r="C970" s="79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32"/>
      <c r="S970" s="32"/>
      <c r="T970" s="32"/>
      <c r="U970" s="32"/>
      <c r="V970" s="32"/>
      <c r="W970" s="32"/>
      <c r="X970" s="32"/>
    </row>
    <row r="971">
      <c r="A971" s="67"/>
      <c r="B971" s="81"/>
      <c r="C971" s="79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32"/>
      <c r="S971" s="32"/>
      <c r="T971" s="32"/>
      <c r="U971" s="32"/>
      <c r="V971" s="32"/>
      <c r="W971" s="32"/>
      <c r="X971" s="32"/>
    </row>
    <row r="972">
      <c r="A972" s="67"/>
      <c r="B972" s="81"/>
      <c r="C972" s="79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32"/>
      <c r="S972" s="32"/>
      <c r="T972" s="32"/>
      <c r="U972" s="32"/>
      <c r="V972" s="32"/>
      <c r="W972" s="32"/>
      <c r="X972" s="32"/>
    </row>
    <row r="973">
      <c r="A973" s="67"/>
      <c r="B973" s="81"/>
      <c r="C973" s="79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32"/>
      <c r="S973" s="32"/>
      <c r="T973" s="32"/>
      <c r="U973" s="32"/>
      <c r="V973" s="32"/>
      <c r="W973" s="32"/>
      <c r="X973" s="32"/>
    </row>
    <row r="974">
      <c r="A974" s="67"/>
      <c r="B974" s="81"/>
      <c r="C974" s="79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32"/>
      <c r="S974" s="32"/>
      <c r="T974" s="32"/>
      <c r="U974" s="32"/>
      <c r="V974" s="32"/>
      <c r="W974" s="32"/>
      <c r="X974" s="32"/>
    </row>
    <row r="975">
      <c r="A975" s="67"/>
      <c r="B975" s="81"/>
      <c r="C975" s="79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32"/>
      <c r="S975" s="32"/>
      <c r="T975" s="32"/>
      <c r="U975" s="32"/>
      <c r="V975" s="32"/>
      <c r="W975" s="32"/>
      <c r="X975" s="32"/>
    </row>
    <row r="976">
      <c r="A976" s="67"/>
      <c r="B976" s="81"/>
      <c r="C976" s="79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32"/>
      <c r="S976" s="32"/>
      <c r="T976" s="32"/>
      <c r="U976" s="32"/>
      <c r="V976" s="32"/>
      <c r="W976" s="32"/>
      <c r="X976" s="32"/>
    </row>
    <row r="977">
      <c r="A977" s="67"/>
      <c r="B977" s="81"/>
      <c r="C977" s="79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32"/>
      <c r="S977" s="32"/>
      <c r="T977" s="32"/>
      <c r="U977" s="32"/>
      <c r="V977" s="32"/>
      <c r="W977" s="32"/>
      <c r="X977" s="32"/>
    </row>
    <row r="978">
      <c r="A978" s="67"/>
      <c r="B978" s="81"/>
      <c r="C978" s="79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32"/>
      <c r="S978" s="32"/>
      <c r="T978" s="32"/>
      <c r="U978" s="32"/>
      <c r="V978" s="32"/>
      <c r="W978" s="32"/>
      <c r="X978" s="32"/>
    </row>
    <row r="979">
      <c r="A979" s="67"/>
      <c r="B979" s="81"/>
      <c r="C979" s="79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32"/>
      <c r="S979" s="32"/>
      <c r="T979" s="32"/>
      <c r="U979" s="32"/>
      <c r="V979" s="32"/>
      <c r="W979" s="32"/>
      <c r="X979" s="32"/>
    </row>
    <row r="980">
      <c r="A980" s="67"/>
      <c r="B980" s="81"/>
      <c r="C980" s="79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32"/>
      <c r="S980" s="32"/>
      <c r="T980" s="32"/>
      <c r="U980" s="32"/>
      <c r="V980" s="32"/>
      <c r="W980" s="32"/>
      <c r="X980" s="32"/>
    </row>
    <row r="981">
      <c r="A981" s="67"/>
      <c r="B981" s="81"/>
      <c r="C981" s="79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32"/>
      <c r="S981" s="32"/>
      <c r="T981" s="32"/>
      <c r="U981" s="32"/>
      <c r="V981" s="32"/>
      <c r="W981" s="32"/>
      <c r="X981" s="32"/>
    </row>
    <row r="982">
      <c r="A982" s="67"/>
      <c r="B982" s="81"/>
      <c r="C982" s="79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32"/>
      <c r="S982" s="32"/>
      <c r="T982" s="32"/>
      <c r="U982" s="32"/>
      <c r="V982" s="32"/>
      <c r="W982" s="32"/>
      <c r="X982" s="32"/>
    </row>
    <row r="983">
      <c r="A983" s="67"/>
      <c r="B983" s="81"/>
      <c r="C983" s="79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32"/>
      <c r="S983" s="32"/>
      <c r="T983" s="32"/>
      <c r="U983" s="32"/>
      <c r="V983" s="32"/>
      <c r="W983" s="32"/>
      <c r="X983" s="32"/>
    </row>
    <row r="984">
      <c r="A984" s="67"/>
      <c r="B984" s="81"/>
      <c r="C984" s="79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32"/>
      <c r="S984" s="32"/>
      <c r="T984" s="32"/>
      <c r="U984" s="32"/>
      <c r="V984" s="32"/>
      <c r="W984" s="32"/>
      <c r="X984" s="32"/>
    </row>
    <row r="985">
      <c r="A985" s="67"/>
      <c r="B985" s="81"/>
      <c r="C985" s="79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32"/>
      <c r="S985" s="32"/>
      <c r="T985" s="32"/>
      <c r="U985" s="32"/>
      <c r="V985" s="32"/>
      <c r="W985" s="32"/>
      <c r="X985" s="32"/>
    </row>
    <row r="986">
      <c r="A986" s="67"/>
      <c r="B986" s="81"/>
      <c r="C986" s="79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32"/>
      <c r="S986" s="32"/>
      <c r="T986" s="32"/>
      <c r="U986" s="32"/>
      <c r="V986" s="32"/>
      <c r="W986" s="32"/>
      <c r="X986" s="32"/>
    </row>
    <row r="987">
      <c r="A987" s="67"/>
      <c r="B987" s="81"/>
      <c r="C987" s="79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32"/>
      <c r="S987" s="32"/>
      <c r="T987" s="32"/>
      <c r="U987" s="32"/>
      <c r="V987" s="32"/>
      <c r="W987" s="32"/>
      <c r="X987" s="32"/>
    </row>
    <row r="988">
      <c r="A988" s="67"/>
      <c r="B988" s="81"/>
      <c r="C988" s="79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32"/>
      <c r="S988" s="32"/>
      <c r="T988" s="32"/>
      <c r="U988" s="32"/>
      <c r="V988" s="32"/>
      <c r="W988" s="32"/>
      <c r="X988" s="32"/>
    </row>
    <row r="989">
      <c r="A989" s="67"/>
      <c r="B989" s="81"/>
      <c r="C989" s="79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32"/>
      <c r="S989" s="32"/>
      <c r="T989" s="32"/>
      <c r="U989" s="32"/>
      <c r="V989" s="32"/>
      <c r="W989" s="32"/>
      <c r="X989" s="32"/>
    </row>
    <row r="990">
      <c r="A990" s="67"/>
      <c r="B990" s="81"/>
      <c r="C990" s="79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32"/>
      <c r="S990" s="32"/>
      <c r="T990" s="32"/>
      <c r="U990" s="32"/>
      <c r="V990" s="32"/>
      <c r="W990" s="32"/>
      <c r="X990" s="32"/>
    </row>
    <row r="991">
      <c r="A991" s="67"/>
      <c r="B991" s="81"/>
      <c r="C991" s="79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32"/>
      <c r="S991" s="32"/>
      <c r="T991" s="32"/>
      <c r="U991" s="32"/>
      <c r="V991" s="32"/>
      <c r="W991" s="32"/>
      <c r="X991" s="32"/>
    </row>
    <row r="992">
      <c r="A992" s="67"/>
      <c r="B992" s="81"/>
      <c r="C992" s="79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32"/>
      <c r="S992" s="32"/>
      <c r="T992" s="32"/>
      <c r="U992" s="32"/>
      <c r="V992" s="32"/>
      <c r="W992" s="32"/>
      <c r="X992" s="32"/>
    </row>
    <row r="993">
      <c r="A993" s="67"/>
      <c r="B993" s="81"/>
      <c r="C993" s="79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32"/>
      <c r="S993" s="32"/>
      <c r="T993" s="32"/>
      <c r="U993" s="32"/>
      <c r="V993" s="32"/>
      <c r="W993" s="32"/>
      <c r="X993" s="32"/>
    </row>
    <row r="994">
      <c r="A994" s="67"/>
      <c r="B994" s="81"/>
      <c r="C994" s="79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32"/>
      <c r="S994" s="32"/>
      <c r="T994" s="32"/>
      <c r="U994" s="32"/>
      <c r="V994" s="32"/>
      <c r="W994" s="32"/>
      <c r="X994" s="32"/>
    </row>
    <row r="995">
      <c r="A995" s="67"/>
      <c r="B995" s="81"/>
      <c r="C995" s="79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32"/>
      <c r="S995" s="32"/>
      <c r="T995" s="32"/>
      <c r="U995" s="32"/>
      <c r="V995" s="32"/>
      <c r="W995" s="32"/>
      <c r="X995" s="32"/>
    </row>
    <row r="996">
      <c r="A996" s="67"/>
      <c r="B996" s="81"/>
      <c r="C996" s="79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32"/>
      <c r="S996" s="32"/>
      <c r="T996" s="32"/>
      <c r="U996" s="32"/>
      <c r="V996" s="32"/>
      <c r="W996" s="32"/>
      <c r="X996" s="32"/>
    </row>
    <row r="997">
      <c r="A997" s="67"/>
      <c r="B997" s="81"/>
      <c r="C997" s="79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32"/>
      <c r="S997" s="32"/>
      <c r="T997" s="32"/>
      <c r="U997" s="32"/>
      <c r="V997" s="32"/>
      <c r="W997" s="32"/>
      <c r="X997" s="32"/>
    </row>
    <row r="998">
      <c r="A998" s="67"/>
      <c r="B998" s="81"/>
      <c r="C998" s="79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32"/>
      <c r="S998" s="32"/>
      <c r="T998" s="32"/>
      <c r="U998" s="32"/>
      <c r="V998" s="32"/>
      <c r="W998" s="32"/>
      <c r="X998" s="32"/>
    </row>
    <row r="999">
      <c r="A999" s="67"/>
      <c r="B999" s="81"/>
      <c r="C999" s="79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32"/>
      <c r="S999" s="32"/>
      <c r="T999" s="32"/>
      <c r="U999" s="32"/>
      <c r="V999" s="32"/>
      <c r="W999" s="32"/>
      <c r="X999" s="32"/>
    </row>
    <row r="1000">
      <c r="A1000" s="67"/>
      <c r="B1000" s="81"/>
      <c r="C1000" s="79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32"/>
      <c r="S1000" s="32"/>
      <c r="T1000" s="32"/>
      <c r="U1000" s="32"/>
      <c r="V1000" s="32"/>
      <c r="W1000" s="32"/>
      <c r="X1000" s="32"/>
    </row>
    <row r="1001">
      <c r="A1001" s="67"/>
      <c r="B1001" s="81"/>
      <c r="C1001" s="79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32"/>
      <c r="S1001" s="32"/>
      <c r="T1001" s="32"/>
      <c r="U1001" s="32"/>
      <c r="V1001" s="32"/>
      <c r="W1001" s="32"/>
      <c r="X1001" s="3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hidden="1" min="2" max="2" width="23.63"/>
    <col customWidth="1" hidden="1" min="3" max="3" width="14.63"/>
    <col customWidth="1" min="4" max="4" width="22.13"/>
    <col customWidth="1" hidden="1" min="5" max="5" width="18.13"/>
    <col customWidth="1" hidden="1" min="6" max="6" width="17.13"/>
    <col customWidth="1" min="7" max="7" width="25.38"/>
    <col customWidth="1" hidden="1" min="8" max="8" width="18.38"/>
    <col customWidth="1" hidden="1" min="9" max="9" width="21.25"/>
    <col hidden="1" min="10" max="10" width="12.63"/>
    <col customWidth="1" min="11" max="11" width="22.25"/>
    <col customWidth="1" min="12" max="12" width="19.25"/>
  </cols>
  <sheetData>
    <row r="2">
      <c r="A2" s="90" t="s">
        <v>0</v>
      </c>
      <c r="D2" s="90" t="s">
        <v>1</v>
      </c>
      <c r="G2" s="90" t="s">
        <v>110</v>
      </c>
      <c r="K2" s="90" t="s">
        <v>2</v>
      </c>
      <c r="L2" s="90" t="s">
        <v>111</v>
      </c>
    </row>
    <row r="3">
      <c r="A3" s="90" t="s">
        <v>112</v>
      </c>
      <c r="B3" s="87" t="str">
        <f>IF(IFERROR(SEARCH("благополучателе", A3) &gt; 0, FALSE), "Фокуснаблагополучателе", IF(IFERROR(SEARCH("секторе", A3) &gt; 0, FALSE), "Фокуснасекторе", IF(IFERROR(SEARCH("благах", A3) &gt; 0, FALSE), "Фокуснаблагах","")))</f>
        <v>Фокуснаблагополучателе</v>
      </c>
      <c r="C3" s="1" t="str">
        <f t="array" ref="C3">INDIRECT(B3)</f>
        <v>#REF!</v>
      </c>
      <c r="D3" s="90" t="s">
        <v>113</v>
      </c>
      <c r="E3" s="87" t="str">
        <f>IF(IFERROR(SEARCH("публика", D3) &gt; 0, FALSE), "ФБСообщество", IF(IFERROR(SEARCH("люди", D3) &gt; 0, FALSE), "ФБЛюди", IF(IFERROR(SEARCH("семьи", D3) &gt; 0, FALSE), "ФБСемьи", IF(IFERROR(SEARCH("правительство", D3) &gt; 0, FALSE), "ФББизнес", IF(IFERROR(SEARCH("команда", D3) &gt; 0, FALSE), "ФБКоманда", IF(IFERROR(SEARCH("экономика", D3) &gt; 0, FALSE), "ФСЭкономика", IF(IFERROR(SEARCH("образование", D3) &gt; 0, FALSE), "ФСОбразование",IF(IFERROR(SEARCH("здоровье", D3) &gt; 0, FALSE), "ФСЗдоровье",IF(IFERROR(SEARCH("экология", D3) &gt; 0, FALSE), "ФСЭкология", IF(IFERROR(SEARCH("сфера", D3) &gt; 0, FALSE), "ФССоциальнаясфера", IF(IFERROR(SEARCH("развитие", D3) &gt; 0, FALSE), "ФСМестноеразвитие", IF(IFERROR(SEARCH("среда", D3) &gt; 0, FALSE), "ФСГородскаясреда",IF(IFERROR(SEARCH("культура", D3) &gt; 0, FALSE), "ФСКультура", IF(IFERROR(SEARCH("блага", D3) &gt; 0, FALSE), "ФБлага",""))))))))))))))</f>
        <v>ФБЛюди</v>
      </c>
      <c r="F3" s="1" t="str">
        <f t="array" ref="F3:F1003">INDIRECT(E3)</f>
        <v>Отдельные люди</v>
      </c>
      <c r="G3" s="90" t="s">
        <v>60</v>
      </c>
      <c r="H3" s="87" t="str">
        <f>IF(D3="Частные блага","Частныеблага", IF(D3="Частные блага с общественным эффектом", "Частныеблагасобщественнымэффектом", IF(D3="Общественные блага", "Общественныеблага","")))</f>
        <v/>
      </c>
      <c r="I3" s="87" t="str">
        <f>H3&amp;G3</f>
        <v>Вклад в личностное развитие</v>
      </c>
      <c r="J3" s="1" t="str">
        <f t="array" ref="J3">INDIRECT(I3)</f>
        <v>#REF!</v>
      </c>
      <c r="K3" s="87"/>
      <c r="L3" s="87" t="str">
        <f>IFERROR(VLOOKUP(IF(ISBLANK(K3), G3, K3), 'Показатели'!A:D, 2, FALSE), "")</f>
        <v>Патриотизм, Гражданственность, Высокие нравственные идеалы, Приоритет духовного над материальным, Взаимопомощь и взаимоуважение</v>
      </c>
    </row>
    <row r="4">
      <c r="F4" s="87" t="s">
        <v>60</v>
      </c>
    </row>
    <row r="5">
      <c r="F5" s="87" t="s">
        <v>43</v>
      </c>
    </row>
    <row r="6">
      <c r="F6" s="87" t="s">
        <v>114</v>
      </c>
    </row>
    <row r="7">
      <c r="F7" s="87" t="s">
        <v>85</v>
      </c>
    </row>
    <row r="8">
      <c r="F8" s="87" t="s">
        <v>45</v>
      </c>
    </row>
    <row r="9">
      <c r="F9" s="87" t="s">
        <v>67</v>
      </c>
    </row>
    <row r="10">
      <c r="F10" s="87" t="s">
        <v>115</v>
      </c>
    </row>
    <row r="11">
      <c r="F11" s="87" t="s">
        <v>116</v>
      </c>
    </row>
    <row r="12">
      <c r="F12" s="87" t="s">
        <v>66</v>
      </c>
    </row>
    <row r="13">
      <c r="F13" s="87" t="s">
        <v>73</v>
      </c>
    </row>
    <row r="14">
      <c r="F14" s="87" t="s">
        <v>77</v>
      </c>
    </row>
    <row r="15">
      <c r="F15" s="87" t="s">
        <v>117</v>
      </c>
    </row>
    <row r="16">
      <c r="F16" s="87" t="s">
        <v>76</v>
      </c>
    </row>
    <row r="17">
      <c r="F17" s="87" t="s">
        <v>59</v>
      </c>
    </row>
    <row r="18">
      <c r="F18" s="87" t="s">
        <v>41</v>
      </c>
    </row>
    <row r="19">
      <c r="F19" s="87" t="s">
        <v>118</v>
      </c>
    </row>
    <row r="20">
      <c r="F20" s="87" t="s">
        <v>79</v>
      </c>
    </row>
    <row r="21">
      <c r="F21" s="87" t="s">
        <v>58</v>
      </c>
    </row>
    <row r="22">
      <c r="F22" s="87"/>
    </row>
    <row r="23">
      <c r="F23" s="87"/>
    </row>
    <row r="24">
      <c r="F24" s="87"/>
    </row>
    <row r="25">
      <c r="F25" s="87"/>
    </row>
    <row r="26">
      <c r="F26" s="87"/>
    </row>
    <row r="27">
      <c r="F27" s="87"/>
    </row>
    <row r="28">
      <c r="F28" s="87"/>
    </row>
    <row r="29">
      <c r="F29" s="87"/>
    </row>
    <row r="30">
      <c r="F30" s="87"/>
    </row>
    <row r="31">
      <c r="F31" s="87"/>
    </row>
    <row r="32">
      <c r="F32" s="87"/>
    </row>
    <row r="33">
      <c r="F33" s="87"/>
    </row>
    <row r="34">
      <c r="F34" s="87"/>
    </row>
    <row r="35">
      <c r="F35" s="87"/>
    </row>
    <row r="36">
      <c r="F36" s="87"/>
    </row>
    <row r="37">
      <c r="F37" s="87"/>
    </row>
    <row r="38">
      <c r="F38" s="87"/>
    </row>
    <row r="39">
      <c r="F39" s="87"/>
    </row>
    <row r="40">
      <c r="F40" s="87"/>
    </row>
    <row r="41">
      <c r="F41" s="87"/>
    </row>
    <row r="42">
      <c r="F42" s="87"/>
    </row>
    <row r="43">
      <c r="F43" s="87"/>
    </row>
    <row r="44">
      <c r="F44" s="87"/>
    </row>
    <row r="45">
      <c r="F45" s="87"/>
    </row>
    <row r="46">
      <c r="F46" s="87"/>
    </row>
    <row r="47">
      <c r="F47" s="87"/>
    </row>
    <row r="48">
      <c r="F48" s="87"/>
    </row>
    <row r="49">
      <c r="F49" s="87"/>
    </row>
    <row r="50">
      <c r="F50" s="87"/>
    </row>
    <row r="51">
      <c r="F51" s="87"/>
    </row>
    <row r="52">
      <c r="F52" s="87"/>
    </row>
    <row r="53">
      <c r="F53" s="87"/>
    </row>
    <row r="54">
      <c r="F54" s="87"/>
    </row>
    <row r="55">
      <c r="F55" s="87"/>
    </row>
    <row r="56">
      <c r="F56" s="87"/>
    </row>
    <row r="57">
      <c r="F57" s="87"/>
    </row>
    <row r="58">
      <c r="F58" s="87"/>
    </row>
    <row r="59">
      <c r="F59" s="87"/>
    </row>
    <row r="60">
      <c r="F60" s="87"/>
    </row>
    <row r="61">
      <c r="F61" s="87"/>
    </row>
    <row r="62">
      <c r="F62" s="87"/>
    </row>
    <row r="63">
      <c r="F63" s="87"/>
    </row>
    <row r="64">
      <c r="F64" s="87"/>
    </row>
    <row r="65">
      <c r="F65" s="87"/>
    </row>
    <row r="66">
      <c r="F66" s="87"/>
    </row>
    <row r="67">
      <c r="F67" s="87"/>
    </row>
    <row r="68">
      <c r="F68" s="87"/>
    </row>
    <row r="69">
      <c r="F69" s="87"/>
    </row>
    <row r="70">
      <c r="F70" s="87"/>
    </row>
    <row r="71">
      <c r="F71" s="87"/>
    </row>
    <row r="72">
      <c r="F72" s="87"/>
    </row>
    <row r="73">
      <c r="F73" s="87"/>
    </row>
    <row r="74">
      <c r="F74" s="87"/>
    </row>
    <row r="75">
      <c r="F75" s="87"/>
    </row>
    <row r="76">
      <c r="F76" s="87"/>
    </row>
    <row r="77">
      <c r="F77" s="87"/>
    </row>
    <row r="78">
      <c r="F78" s="87"/>
    </row>
    <row r="79">
      <c r="F79" s="87"/>
    </row>
    <row r="80">
      <c r="F80" s="87"/>
    </row>
    <row r="81">
      <c r="F81" s="87"/>
    </row>
    <row r="82">
      <c r="F82" s="87"/>
    </row>
    <row r="83">
      <c r="F83" s="87"/>
    </row>
    <row r="84">
      <c r="F84" s="87"/>
    </row>
    <row r="85">
      <c r="F85" s="87"/>
    </row>
    <row r="86">
      <c r="F86" s="87"/>
    </row>
    <row r="87">
      <c r="F87" s="87"/>
    </row>
    <row r="88">
      <c r="F88" s="87"/>
    </row>
    <row r="89">
      <c r="F89" s="87"/>
    </row>
    <row r="90">
      <c r="F90" s="87"/>
    </row>
    <row r="91">
      <c r="F91" s="87"/>
    </row>
    <row r="92">
      <c r="F92" s="87"/>
    </row>
    <row r="93">
      <c r="F93" s="87"/>
    </row>
    <row r="94">
      <c r="F94" s="87"/>
    </row>
    <row r="95">
      <c r="F95" s="87"/>
    </row>
    <row r="96">
      <c r="F96" s="87"/>
    </row>
    <row r="97">
      <c r="F97" s="87"/>
    </row>
    <row r="98">
      <c r="F98" s="87"/>
    </row>
    <row r="99">
      <c r="F99" s="87"/>
    </row>
    <row r="100">
      <c r="F100" s="87"/>
    </row>
    <row r="101">
      <c r="F101" s="87"/>
    </row>
    <row r="102">
      <c r="F102" s="87"/>
    </row>
    <row r="103">
      <c r="F103" s="87"/>
    </row>
    <row r="104">
      <c r="F104" s="87"/>
    </row>
    <row r="105">
      <c r="F105" s="87"/>
    </row>
    <row r="106">
      <c r="F106" s="87"/>
    </row>
    <row r="107">
      <c r="F107" s="87"/>
    </row>
    <row r="108">
      <c r="F108" s="87"/>
    </row>
    <row r="109">
      <c r="F109" s="87"/>
    </row>
    <row r="110">
      <c r="F110" s="87"/>
    </row>
    <row r="111">
      <c r="F111" s="87"/>
    </row>
    <row r="112">
      <c r="F112" s="87"/>
    </row>
    <row r="113">
      <c r="F113" s="87"/>
    </row>
    <row r="114">
      <c r="F114" s="87"/>
    </row>
    <row r="115">
      <c r="F115" s="87"/>
    </row>
    <row r="116">
      <c r="F116" s="87"/>
    </row>
    <row r="117">
      <c r="F117" s="87"/>
    </row>
    <row r="118">
      <c r="F118" s="87"/>
    </row>
    <row r="119">
      <c r="F119" s="87"/>
    </row>
    <row r="120">
      <c r="F120" s="87"/>
    </row>
    <row r="121">
      <c r="F121" s="87"/>
    </row>
    <row r="122">
      <c r="F122" s="87"/>
    </row>
    <row r="123">
      <c r="F123" s="87"/>
    </row>
    <row r="124">
      <c r="F124" s="87"/>
    </row>
    <row r="125">
      <c r="F125" s="87"/>
    </row>
    <row r="126">
      <c r="F126" s="87"/>
    </row>
    <row r="127">
      <c r="F127" s="87"/>
    </row>
    <row r="128">
      <c r="F128" s="87"/>
    </row>
    <row r="129">
      <c r="F129" s="87"/>
    </row>
    <row r="130">
      <c r="F130" s="87"/>
    </row>
    <row r="131">
      <c r="F131" s="87"/>
    </row>
    <row r="132">
      <c r="F132" s="87"/>
    </row>
    <row r="133">
      <c r="F133" s="87"/>
    </row>
    <row r="134">
      <c r="F134" s="87"/>
    </row>
    <row r="135">
      <c r="F135" s="87"/>
    </row>
    <row r="136">
      <c r="F136" s="87"/>
    </row>
    <row r="137">
      <c r="F137" s="87"/>
    </row>
    <row r="138">
      <c r="F138" s="87"/>
    </row>
    <row r="139">
      <c r="F139" s="87"/>
    </row>
    <row r="140">
      <c r="F140" s="87"/>
    </row>
    <row r="141">
      <c r="F141" s="87"/>
    </row>
    <row r="142">
      <c r="F142" s="87"/>
    </row>
    <row r="143">
      <c r="F143" s="87"/>
    </row>
    <row r="144">
      <c r="F144" s="87"/>
    </row>
    <row r="145">
      <c r="F145" s="87"/>
    </row>
    <row r="146">
      <c r="F146" s="87"/>
    </row>
    <row r="147">
      <c r="F147" s="87"/>
    </row>
    <row r="148">
      <c r="F148" s="87"/>
    </row>
    <row r="149">
      <c r="F149" s="87"/>
    </row>
    <row r="150">
      <c r="F150" s="87"/>
    </row>
    <row r="151">
      <c r="F151" s="87"/>
    </row>
    <row r="152">
      <c r="F152" s="87"/>
    </row>
    <row r="153">
      <c r="F153" s="87"/>
    </row>
    <row r="154">
      <c r="F154" s="87"/>
    </row>
    <row r="155">
      <c r="F155" s="87"/>
    </row>
    <row r="156">
      <c r="F156" s="87"/>
    </row>
    <row r="157">
      <c r="F157" s="87"/>
    </row>
    <row r="158">
      <c r="F158" s="87"/>
    </row>
    <row r="159">
      <c r="F159" s="87"/>
    </row>
    <row r="160">
      <c r="F160" s="87"/>
    </row>
    <row r="161">
      <c r="F161" s="87"/>
    </row>
    <row r="162">
      <c r="F162" s="87"/>
    </row>
    <row r="163">
      <c r="F163" s="87"/>
    </row>
    <row r="164">
      <c r="F164" s="87"/>
    </row>
    <row r="165">
      <c r="F165" s="87"/>
    </row>
    <row r="166">
      <c r="F166" s="87"/>
    </row>
    <row r="167">
      <c r="F167" s="87"/>
    </row>
    <row r="168">
      <c r="F168" s="87"/>
    </row>
    <row r="169">
      <c r="F169" s="87"/>
    </row>
    <row r="170">
      <c r="F170" s="87"/>
    </row>
    <row r="171">
      <c r="F171" s="87"/>
    </row>
    <row r="172">
      <c r="F172" s="87"/>
    </row>
    <row r="173">
      <c r="F173" s="87"/>
    </row>
    <row r="174">
      <c r="F174" s="87"/>
    </row>
    <row r="175">
      <c r="F175" s="87"/>
    </row>
    <row r="176">
      <c r="F176" s="87"/>
    </row>
    <row r="177">
      <c r="F177" s="87"/>
    </row>
    <row r="178">
      <c r="F178" s="87"/>
    </row>
    <row r="179">
      <c r="F179" s="87"/>
    </row>
    <row r="180">
      <c r="F180" s="87"/>
    </row>
    <row r="181">
      <c r="F181" s="87"/>
    </row>
    <row r="182">
      <c r="F182" s="87"/>
    </row>
    <row r="183">
      <c r="F183" s="87"/>
    </row>
    <row r="184">
      <c r="F184" s="87"/>
    </row>
    <row r="185">
      <c r="F185" s="87"/>
    </row>
    <row r="186">
      <c r="F186" s="87"/>
    </row>
    <row r="187">
      <c r="F187" s="87"/>
    </row>
    <row r="188">
      <c r="F188" s="87"/>
    </row>
    <row r="189">
      <c r="F189" s="87"/>
    </row>
    <row r="190">
      <c r="F190" s="87"/>
    </row>
    <row r="191">
      <c r="F191" s="87"/>
    </row>
    <row r="192">
      <c r="F192" s="87"/>
    </row>
    <row r="193">
      <c r="F193" s="87"/>
    </row>
    <row r="194">
      <c r="F194" s="87"/>
    </row>
    <row r="195">
      <c r="F195" s="87"/>
    </row>
    <row r="196">
      <c r="F196" s="87"/>
    </row>
    <row r="197">
      <c r="F197" s="87"/>
    </row>
    <row r="198">
      <c r="F198" s="87"/>
    </row>
    <row r="199">
      <c r="F199" s="87"/>
    </row>
    <row r="200">
      <c r="F200" s="87"/>
    </row>
    <row r="201">
      <c r="F201" s="87"/>
    </row>
    <row r="202">
      <c r="F202" s="87"/>
    </row>
    <row r="203">
      <c r="F203" s="87"/>
    </row>
    <row r="204">
      <c r="F204" s="87"/>
    </row>
    <row r="205">
      <c r="F205" s="87"/>
    </row>
    <row r="206">
      <c r="F206" s="87"/>
    </row>
    <row r="207">
      <c r="F207" s="87"/>
    </row>
    <row r="208">
      <c r="F208" s="87"/>
    </row>
    <row r="209">
      <c r="F209" s="87"/>
    </row>
    <row r="210">
      <c r="F210" s="87"/>
    </row>
    <row r="211">
      <c r="F211" s="87"/>
    </row>
    <row r="212">
      <c r="F212" s="87"/>
    </row>
    <row r="213">
      <c r="F213" s="87"/>
    </row>
    <row r="214">
      <c r="F214" s="87"/>
    </row>
    <row r="215">
      <c r="F215" s="87"/>
    </row>
    <row r="216">
      <c r="F216" s="87"/>
    </row>
    <row r="217">
      <c r="F217" s="87"/>
    </row>
    <row r="218">
      <c r="F218" s="87"/>
    </row>
    <row r="219">
      <c r="F219" s="87"/>
    </row>
    <row r="220">
      <c r="F220" s="87"/>
    </row>
    <row r="221">
      <c r="F221" s="87"/>
    </row>
    <row r="222">
      <c r="F222" s="87"/>
    </row>
    <row r="223">
      <c r="F223" s="87"/>
    </row>
    <row r="224">
      <c r="F224" s="87"/>
    </row>
    <row r="225">
      <c r="F225" s="87"/>
    </row>
    <row r="226">
      <c r="F226" s="87"/>
    </row>
    <row r="227">
      <c r="F227" s="87"/>
    </row>
    <row r="228">
      <c r="F228" s="87"/>
    </row>
    <row r="229">
      <c r="F229" s="87"/>
    </row>
    <row r="230">
      <c r="F230" s="87"/>
    </row>
    <row r="231">
      <c r="F231" s="87"/>
    </row>
    <row r="232">
      <c r="F232" s="87"/>
    </row>
    <row r="233">
      <c r="F233" s="87"/>
    </row>
    <row r="234">
      <c r="F234" s="87"/>
    </row>
    <row r="235">
      <c r="F235" s="87"/>
    </row>
    <row r="236">
      <c r="F236" s="87"/>
    </row>
    <row r="237">
      <c r="F237" s="87"/>
    </row>
    <row r="238">
      <c r="F238" s="87"/>
    </row>
    <row r="239">
      <c r="F239" s="87"/>
    </row>
    <row r="240">
      <c r="F240" s="87"/>
    </row>
    <row r="241">
      <c r="F241" s="87"/>
    </row>
    <row r="242">
      <c r="F242" s="87"/>
    </row>
    <row r="243">
      <c r="F243" s="87"/>
    </row>
    <row r="244">
      <c r="F244" s="87"/>
    </row>
    <row r="245">
      <c r="F245" s="87"/>
    </row>
    <row r="246">
      <c r="F246" s="87"/>
    </row>
    <row r="247">
      <c r="F247" s="87"/>
    </row>
    <row r="248">
      <c r="F248" s="87"/>
    </row>
    <row r="249">
      <c r="F249" s="87"/>
    </row>
    <row r="250">
      <c r="F250" s="87"/>
    </row>
    <row r="251">
      <c r="F251" s="87"/>
    </row>
    <row r="252">
      <c r="F252" s="87"/>
    </row>
    <row r="253">
      <c r="F253" s="87"/>
    </row>
    <row r="254">
      <c r="F254" s="87"/>
    </row>
    <row r="255">
      <c r="F255" s="87"/>
    </row>
    <row r="256">
      <c r="F256" s="87"/>
    </row>
    <row r="257">
      <c r="F257" s="87"/>
    </row>
    <row r="258">
      <c r="F258" s="87"/>
    </row>
    <row r="259">
      <c r="F259" s="87"/>
    </row>
    <row r="260">
      <c r="F260" s="87"/>
    </row>
    <row r="261">
      <c r="F261" s="87"/>
    </row>
    <row r="262">
      <c r="F262" s="87"/>
    </row>
    <row r="263">
      <c r="F263" s="87"/>
    </row>
    <row r="264">
      <c r="F264" s="87"/>
    </row>
    <row r="265">
      <c r="F265" s="87"/>
    </row>
    <row r="266">
      <c r="F266" s="87"/>
    </row>
    <row r="267">
      <c r="F267" s="87"/>
    </row>
    <row r="268">
      <c r="F268" s="87"/>
    </row>
    <row r="269">
      <c r="F269" s="87"/>
    </row>
    <row r="270">
      <c r="F270" s="87"/>
    </row>
    <row r="271">
      <c r="F271" s="87"/>
    </row>
    <row r="272">
      <c r="F272" s="87"/>
    </row>
    <row r="273">
      <c r="F273" s="87"/>
    </row>
    <row r="274">
      <c r="F274" s="87"/>
    </row>
    <row r="275">
      <c r="F275" s="87"/>
    </row>
    <row r="276">
      <c r="F276" s="87"/>
    </row>
    <row r="277">
      <c r="F277" s="87"/>
    </row>
    <row r="278">
      <c r="F278" s="87"/>
    </row>
    <row r="279">
      <c r="F279" s="87"/>
    </row>
    <row r="280">
      <c r="F280" s="87"/>
    </row>
    <row r="281">
      <c r="F281" s="87"/>
    </row>
    <row r="282">
      <c r="F282" s="87"/>
    </row>
    <row r="283">
      <c r="F283" s="87"/>
    </row>
    <row r="284">
      <c r="F284" s="87"/>
    </row>
    <row r="285">
      <c r="F285" s="87"/>
    </row>
    <row r="286">
      <c r="F286" s="87"/>
    </row>
    <row r="287">
      <c r="F287" s="87"/>
    </row>
    <row r="288">
      <c r="F288" s="87"/>
    </row>
    <row r="289">
      <c r="F289" s="87"/>
    </row>
    <row r="290">
      <c r="F290" s="87"/>
    </row>
    <row r="291">
      <c r="F291" s="87"/>
    </row>
    <row r="292">
      <c r="F292" s="87"/>
    </row>
    <row r="293">
      <c r="F293" s="87"/>
    </row>
    <row r="294">
      <c r="F294" s="87"/>
    </row>
    <row r="295">
      <c r="F295" s="87"/>
    </row>
    <row r="296">
      <c r="F296" s="87"/>
    </row>
    <row r="297">
      <c r="F297" s="87"/>
    </row>
    <row r="298">
      <c r="F298" s="87"/>
    </row>
    <row r="299">
      <c r="F299" s="87"/>
    </row>
    <row r="300">
      <c r="F300" s="87"/>
    </row>
    <row r="301">
      <c r="F301" s="87"/>
    </row>
    <row r="302">
      <c r="F302" s="87"/>
    </row>
    <row r="303">
      <c r="F303" s="87"/>
    </row>
    <row r="304">
      <c r="F304" s="87"/>
    </row>
    <row r="305">
      <c r="F305" s="87"/>
    </row>
    <row r="306">
      <c r="F306" s="87"/>
    </row>
    <row r="307">
      <c r="F307" s="87"/>
    </row>
    <row r="308">
      <c r="F308" s="87"/>
    </row>
    <row r="309">
      <c r="F309" s="87"/>
    </row>
    <row r="310">
      <c r="F310" s="87"/>
    </row>
    <row r="311">
      <c r="F311" s="87"/>
    </row>
    <row r="312">
      <c r="F312" s="87"/>
    </row>
    <row r="313">
      <c r="F313" s="87"/>
    </row>
    <row r="314">
      <c r="F314" s="87"/>
    </row>
    <row r="315">
      <c r="F315" s="87"/>
    </row>
    <row r="316">
      <c r="F316" s="87"/>
    </row>
    <row r="317">
      <c r="F317" s="87"/>
    </row>
    <row r="318">
      <c r="F318" s="87"/>
    </row>
    <row r="319">
      <c r="F319" s="87"/>
    </row>
    <row r="320">
      <c r="F320" s="87"/>
    </row>
    <row r="321">
      <c r="F321" s="87"/>
    </row>
    <row r="322">
      <c r="F322" s="87"/>
    </row>
    <row r="323">
      <c r="F323" s="87"/>
    </row>
    <row r="324">
      <c r="F324" s="87"/>
    </row>
    <row r="325">
      <c r="F325" s="87"/>
    </row>
    <row r="326">
      <c r="F326" s="87"/>
    </row>
    <row r="327">
      <c r="F327" s="87"/>
    </row>
    <row r="328">
      <c r="F328" s="87"/>
    </row>
    <row r="329">
      <c r="F329" s="87"/>
    </row>
    <row r="330">
      <c r="F330" s="87"/>
    </row>
    <row r="331">
      <c r="F331" s="87"/>
    </row>
    <row r="332">
      <c r="F332" s="87"/>
    </row>
    <row r="333">
      <c r="F333" s="87"/>
    </row>
    <row r="334">
      <c r="F334" s="87"/>
    </row>
    <row r="335">
      <c r="F335" s="87"/>
    </row>
    <row r="336">
      <c r="F336" s="87"/>
    </row>
    <row r="337">
      <c r="F337" s="87"/>
    </row>
    <row r="338">
      <c r="F338" s="87"/>
    </row>
    <row r="339">
      <c r="F339" s="87"/>
    </row>
    <row r="340">
      <c r="F340" s="87"/>
    </row>
    <row r="341">
      <c r="F341" s="87"/>
    </row>
    <row r="342">
      <c r="F342" s="87"/>
    </row>
    <row r="343">
      <c r="F343" s="87"/>
    </row>
    <row r="344">
      <c r="F344" s="87"/>
    </row>
    <row r="345">
      <c r="F345" s="87"/>
    </row>
    <row r="346">
      <c r="F346" s="87"/>
    </row>
    <row r="347">
      <c r="F347" s="87"/>
    </row>
    <row r="348">
      <c r="F348" s="87"/>
    </row>
    <row r="349">
      <c r="F349" s="87"/>
    </row>
    <row r="350">
      <c r="F350" s="87"/>
    </row>
    <row r="351">
      <c r="F351" s="87"/>
    </row>
    <row r="352">
      <c r="F352" s="87"/>
    </row>
    <row r="353">
      <c r="F353" s="87"/>
    </row>
    <row r="354">
      <c r="F354" s="87"/>
    </row>
    <row r="355">
      <c r="F355" s="87"/>
    </row>
    <row r="356">
      <c r="F356" s="87"/>
    </row>
    <row r="357">
      <c r="F357" s="87"/>
    </row>
    <row r="358">
      <c r="F358" s="87"/>
    </row>
    <row r="359">
      <c r="F359" s="87"/>
    </row>
    <row r="360">
      <c r="F360" s="87"/>
    </row>
    <row r="361">
      <c r="F361" s="87"/>
    </row>
    <row r="362">
      <c r="F362" s="87"/>
    </row>
    <row r="363">
      <c r="F363" s="87"/>
    </row>
    <row r="364">
      <c r="F364" s="87"/>
    </row>
    <row r="365">
      <c r="F365" s="87"/>
    </row>
    <row r="366">
      <c r="F366" s="87"/>
    </row>
    <row r="367">
      <c r="F367" s="87"/>
    </row>
    <row r="368">
      <c r="F368" s="87"/>
    </row>
    <row r="369">
      <c r="F369" s="87"/>
    </row>
    <row r="370">
      <c r="F370" s="87"/>
    </row>
    <row r="371">
      <c r="F371" s="87"/>
    </row>
    <row r="372">
      <c r="F372" s="87"/>
    </row>
    <row r="373">
      <c r="F373" s="87"/>
    </row>
    <row r="374">
      <c r="F374" s="87"/>
    </row>
    <row r="375">
      <c r="F375" s="87"/>
    </row>
    <row r="376">
      <c r="F376" s="87"/>
    </row>
    <row r="377">
      <c r="F377" s="87"/>
    </row>
    <row r="378">
      <c r="F378" s="87"/>
    </row>
    <row r="379">
      <c r="F379" s="87"/>
    </row>
    <row r="380">
      <c r="F380" s="87"/>
    </row>
    <row r="381">
      <c r="F381" s="87"/>
    </row>
    <row r="382">
      <c r="F382" s="87"/>
    </row>
    <row r="383">
      <c r="F383" s="87"/>
    </row>
    <row r="384">
      <c r="F384" s="87"/>
    </row>
    <row r="385">
      <c r="F385" s="87"/>
    </row>
    <row r="386">
      <c r="F386" s="87"/>
    </row>
    <row r="387">
      <c r="F387" s="87"/>
    </row>
    <row r="388">
      <c r="F388" s="87"/>
    </row>
    <row r="389">
      <c r="F389" s="87"/>
    </row>
    <row r="390">
      <c r="F390" s="87"/>
    </row>
    <row r="391">
      <c r="F391" s="87"/>
    </row>
    <row r="392">
      <c r="F392" s="87"/>
    </row>
    <row r="393">
      <c r="F393" s="87"/>
    </row>
    <row r="394">
      <c r="F394" s="87"/>
    </row>
    <row r="395">
      <c r="F395" s="87"/>
    </row>
    <row r="396">
      <c r="F396" s="87"/>
    </row>
    <row r="397">
      <c r="F397" s="87"/>
    </row>
    <row r="398">
      <c r="F398" s="87"/>
    </row>
    <row r="399">
      <c r="F399" s="87"/>
    </row>
    <row r="400">
      <c r="F400" s="87"/>
    </row>
    <row r="401">
      <c r="F401" s="87"/>
    </row>
    <row r="402">
      <c r="F402" s="87"/>
    </row>
    <row r="403">
      <c r="F403" s="87"/>
    </row>
    <row r="404">
      <c r="F404" s="87"/>
    </row>
    <row r="405">
      <c r="F405" s="87"/>
    </row>
    <row r="406">
      <c r="F406" s="87"/>
    </row>
    <row r="407">
      <c r="F407" s="87"/>
    </row>
    <row r="408">
      <c r="F408" s="87"/>
    </row>
    <row r="409">
      <c r="F409" s="87"/>
    </row>
    <row r="410">
      <c r="F410" s="87"/>
    </row>
    <row r="411">
      <c r="F411" s="87"/>
    </row>
    <row r="412">
      <c r="F412" s="87"/>
    </row>
    <row r="413">
      <c r="F413" s="87"/>
    </row>
    <row r="414">
      <c r="F414" s="87"/>
    </row>
    <row r="415">
      <c r="F415" s="87"/>
    </row>
    <row r="416">
      <c r="F416" s="87"/>
    </row>
    <row r="417">
      <c r="F417" s="87"/>
    </row>
    <row r="418">
      <c r="F418" s="87"/>
    </row>
    <row r="419">
      <c r="F419" s="87"/>
    </row>
    <row r="420">
      <c r="F420" s="87"/>
    </row>
    <row r="421">
      <c r="F421" s="87"/>
    </row>
    <row r="422">
      <c r="F422" s="87"/>
    </row>
    <row r="423">
      <c r="F423" s="87"/>
    </row>
    <row r="424">
      <c r="F424" s="87"/>
    </row>
    <row r="425">
      <c r="F425" s="87"/>
    </row>
    <row r="426">
      <c r="F426" s="87"/>
    </row>
    <row r="427">
      <c r="F427" s="87"/>
    </row>
    <row r="428">
      <c r="F428" s="87"/>
    </row>
    <row r="429">
      <c r="F429" s="87"/>
    </row>
    <row r="430">
      <c r="F430" s="87"/>
    </row>
    <row r="431">
      <c r="F431" s="87"/>
    </row>
    <row r="432">
      <c r="F432" s="87"/>
    </row>
    <row r="433">
      <c r="F433" s="87"/>
    </row>
    <row r="434">
      <c r="F434" s="87"/>
    </row>
    <row r="435">
      <c r="F435" s="87"/>
    </row>
    <row r="436">
      <c r="F436" s="87"/>
    </row>
    <row r="437">
      <c r="F437" s="87"/>
    </row>
    <row r="438">
      <c r="F438" s="87"/>
    </row>
    <row r="439">
      <c r="F439" s="87"/>
    </row>
    <row r="440">
      <c r="F440" s="87"/>
    </row>
    <row r="441">
      <c r="F441" s="87"/>
    </row>
    <row r="442">
      <c r="F442" s="87"/>
    </row>
    <row r="443">
      <c r="F443" s="87"/>
    </row>
    <row r="444">
      <c r="F444" s="87"/>
    </row>
    <row r="445">
      <c r="F445" s="87"/>
    </row>
    <row r="446">
      <c r="F446" s="87"/>
    </row>
    <row r="447">
      <c r="F447" s="87"/>
    </row>
    <row r="448">
      <c r="F448" s="87"/>
    </row>
    <row r="449">
      <c r="F449" s="87"/>
    </row>
    <row r="450">
      <c r="F450" s="87"/>
    </row>
    <row r="451">
      <c r="F451" s="87"/>
    </row>
    <row r="452">
      <c r="F452" s="87"/>
    </row>
    <row r="453">
      <c r="F453" s="87"/>
    </row>
    <row r="454">
      <c r="F454" s="87"/>
    </row>
    <row r="455">
      <c r="F455" s="87"/>
    </row>
    <row r="456">
      <c r="F456" s="87"/>
    </row>
    <row r="457">
      <c r="F457" s="87"/>
    </row>
    <row r="458">
      <c r="F458" s="87"/>
    </row>
    <row r="459">
      <c r="F459" s="87"/>
    </row>
    <row r="460">
      <c r="F460" s="87"/>
    </row>
    <row r="461">
      <c r="F461" s="87"/>
    </row>
    <row r="462">
      <c r="F462" s="87"/>
    </row>
    <row r="463">
      <c r="F463" s="87"/>
    </row>
    <row r="464">
      <c r="F464" s="87"/>
    </row>
    <row r="465">
      <c r="F465" s="87"/>
    </row>
    <row r="466">
      <c r="F466" s="87"/>
    </row>
    <row r="467">
      <c r="F467" s="87"/>
    </row>
    <row r="468">
      <c r="F468" s="87"/>
    </row>
    <row r="469">
      <c r="F469" s="87"/>
    </row>
    <row r="470">
      <c r="F470" s="87"/>
    </row>
    <row r="471">
      <c r="F471" s="87"/>
    </row>
    <row r="472">
      <c r="F472" s="87"/>
    </row>
    <row r="473">
      <c r="F473" s="87"/>
    </row>
    <row r="474">
      <c r="F474" s="87"/>
    </row>
    <row r="475">
      <c r="F475" s="87"/>
    </row>
    <row r="476">
      <c r="F476" s="87"/>
    </row>
    <row r="477">
      <c r="F477" s="87"/>
    </row>
    <row r="478">
      <c r="F478" s="87"/>
    </row>
    <row r="479">
      <c r="F479" s="87"/>
    </row>
    <row r="480">
      <c r="F480" s="87"/>
    </row>
    <row r="481">
      <c r="F481" s="87"/>
    </row>
    <row r="482">
      <c r="F482" s="87"/>
    </row>
    <row r="483">
      <c r="F483" s="87"/>
    </row>
    <row r="484">
      <c r="F484" s="87"/>
    </row>
    <row r="485">
      <c r="F485" s="87"/>
    </row>
    <row r="486">
      <c r="F486" s="87"/>
    </row>
    <row r="487">
      <c r="F487" s="87"/>
    </row>
    <row r="488">
      <c r="F488" s="87"/>
    </row>
    <row r="489">
      <c r="F489" s="87"/>
    </row>
    <row r="490">
      <c r="F490" s="87"/>
    </row>
    <row r="491">
      <c r="F491" s="87"/>
    </row>
    <row r="492">
      <c r="F492" s="87"/>
    </row>
    <row r="493">
      <c r="F493" s="87"/>
    </row>
    <row r="494">
      <c r="F494" s="87"/>
    </row>
    <row r="495">
      <c r="F495" s="87"/>
    </row>
    <row r="496">
      <c r="F496" s="87"/>
    </row>
    <row r="497">
      <c r="F497" s="87"/>
    </row>
    <row r="498">
      <c r="F498" s="87"/>
    </row>
    <row r="499">
      <c r="F499" s="87"/>
    </row>
    <row r="500">
      <c r="F500" s="87"/>
    </row>
    <row r="501">
      <c r="F501" s="87"/>
    </row>
    <row r="502">
      <c r="F502" s="87"/>
    </row>
    <row r="503">
      <c r="F503" s="87"/>
    </row>
    <row r="504">
      <c r="F504" s="87"/>
    </row>
    <row r="505">
      <c r="F505" s="87"/>
    </row>
    <row r="506">
      <c r="F506" s="87"/>
    </row>
    <row r="507">
      <c r="F507" s="87"/>
    </row>
    <row r="508">
      <c r="F508" s="87"/>
    </row>
    <row r="509">
      <c r="F509" s="87"/>
    </row>
    <row r="510">
      <c r="F510" s="87"/>
    </row>
    <row r="511">
      <c r="F511" s="87"/>
    </row>
    <row r="512">
      <c r="F512" s="87"/>
    </row>
    <row r="513">
      <c r="F513" s="87"/>
    </row>
    <row r="514">
      <c r="F514" s="87"/>
    </row>
    <row r="515">
      <c r="F515" s="87"/>
    </row>
    <row r="516">
      <c r="F516" s="87"/>
    </row>
    <row r="517">
      <c r="F517" s="87"/>
    </row>
    <row r="518">
      <c r="F518" s="87"/>
    </row>
    <row r="519">
      <c r="F519" s="87"/>
    </row>
    <row r="520">
      <c r="F520" s="87"/>
    </row>
    <row r="521">
      <c r="F521" s="87"/>
    </row>
    <row r="522">
      <c r="F522" s="87"/>
    </row>
    <row r="523">
      <c r="F523" s="87"/>
    </row>
    <row r="524">
      <c r="F524" s="87"/>
    </row>
    <row r="525">
      <c r="F525" s="87"/>
    </row>
    <row r="526">
      <c r="F526" s="87"/>
    </row>
    <row r="527">
      <c r="F527" s="87"/>
    </row>
    <row r="528">
      <c r="F528" s="87"/>
    </row>
    <row r="529">
      <c r="F529" s="87"/>
    </row>
    <row r="530">
      <c r="F530" s="87"/>
    </row>
    <row r="531">
      <c r="F531" s="87"/>
    </row>
    <row r="532">
      <c r="F532" s="87"/>
    </row>
    <row r="533">
      <c r="F533" s="87"/>
    </row>
    <row r="534">
      <c r="F534" s="87"/>
    </row>
    <row r="535">
      <c r="F535" s="87"/>
    </row>
    <row r="536">
      <c r="F536" s="87"/>
    </row>
    <row r="537">
      <c r="F537" s="87"/>
    </row>
    <row r="538">
      <c r="F538" s="87"/>
    </row>
    <row r="539">
      <c r="F539" s="87"/>
    </row>
    <row r="540">
      <c r="F540" s="87"/>
    </row>
    <row r="541">
      <c r="F541" s="87"/>
    </row>
    <row r="542">
      <c r="F542" s="87"/>
    </row>
    <row r="543">
      <c r="F543" s="87"/>
    </row>
    <row r="544">
      <c r="F544" s="87"/>
    </row>
    <row r="545">
      <c r="F545" s="87"/>
    </row>
    <row r="546">
      <c r="F546" s="87"/>
    </row>
    <row r="547">
      <c r="F547" s="87"/>
    </row>
    <row r="548">
      <c r="F548" s="87"/>
    </row>
    <row r="549">
      <c r="F549" s="87"/>
    </row>
    <row r="550">
      <c r="F550" s="87"/>
    </row>
    <row r="551">
      <c r="F551" s="87"/>
    </row>
    <row r="552">
      <c r="F552" s="87"/>
    </row>
    <row r="553">
      <c r="F553" s="87"/>
    </row>
    <row r="554">
      <c r="F554" s="87"/>
    </row>
    <row r="555">
      <c r="F555" s="87"/>
    </row>
    <row r="556">
      <c r="F556" s="87"/>
    </row>
    <row r="557">
      <c r="F557" s="87"/>
    </row>
    <row r="558">
      <c r="F558" s="87"/>
    </row>
    <row r="559">
      <c r="F559" s="87"/>
    </row>
    <row r="560">
      <c r="F560" s="87"/>
    </row>
    <row r="561">
      <c r="F561" s="87"/>
    </row>
    <row r="562">
      <c r="F562" s="87"/>
    </row>
    <row r="563">
      <c r="F563" s="87"/>
    </row>
    <row r="564">
      <c r="F564" s="87"/>
    </row>
    <row r="565">
      <c r="F565" s="87"/>
    </row>
    <row r="566">
      <c r="F566" s="87"/>
    </row>
    <row r="567">
      <c r="F567" s="87"/>
    </row>
    <row r="568">
      <c r="F568" s="87"/>
    </row>
    <row r="569">
      <c r="F569" s="87"/>
    </row>
    <row r="570">
      <c r="F570" s="87"/>
    </row>
    <row r="571">
      <c r="F571" s="87"/>
    </row>
    <row r="572">
      <c r="F572" s="87"/>
    </row>
    <row r="573">
      <c r="F573" s="87"/>
    </row>
    <row r="574">
      <c r="F574" s="87"/>
    </row>
    <row r="575">
      <c r="F575" s="87"/>
    </row>
    <row r="576">
      <c r="F576" s="87"/>
    </row>
    <row r="577">
      <c r="F577" s="87"/>
    </row>
    <row r="578">
      <c r="F578" s="87"/>
    </row>
    <row r="579">
      <c r="F579" s="87"/>
    </row>
    <row r="580">
      <c r="F580" s="87"/>
    </row>
    <row r="581">
      <c r="F581" s="87"/>
    </row>
    <row r="582">
      <c r="F582" s="87"/>
    </row>
    <row r="583">
      <c r="F583" s="87"/>
    </row>
    <row r="584">
      <c r="F584" s="87"/>
    </row>
    <row r="585">
      <c r="F585" s="87"/>
    </row>
    <row r="586">
      <c r="F586" s="87"/>
    </row>
    <row r="587">
      <c r="F587" s="87"/>
    </row>
    <row r="588">
      <c r="F588" s="87"/>
    </row>
    <row r="589">
      <c r="F589" s="87"/>
    </row>
    <row r="590">
      <c r="F590" s="87"/>
    </row>
    <row r="591">
      <c r="F591" s="87"/>
    </row>
    <row r="592">
      <c r="F592" s="87"/>
    </row>
    <row r="593">
      <c r="F593" s="87"/>
    </row>
    <row r="594">
      <c r="F594" s="87"/>
    </row>
    <row r="595">
      <c r="F595" s="87"/>
    </row>
    <row r="596">
      <c r="F596" s="87"/>
    </row>
    <row r="597">
      <c r="F597" s="87"/>
    </row>
    <row r="598">
      <c r="F598" s="87"/>
    </row>
    <row r="599">
      <c r="F599" s="87"/>
    </row>
    <row r="600">
      <c r="F600" s="87"/>
    </row>
    <row r="601">
      <c r="F601" s="87"/>
    </row>
    <row r="602">
      <c r="F602" s="87"/>
    </row>
    <row r="603">
      <c r="F603" s="87"/>
    </row>
    <row r="604">
      <c r="F604" s="87"/>
    </row>
    <row r="605">
      <c r="F605" s="87"/>
    </row>
    <row r="606">
      <c r="F606" s="87"/>
    </row>
    <row r="607">
      <c r="F607" s="87"/>
    </row>
    <row r="608">
      <c r="F608" s="87"/>
    </row>
    <row r="609">
      <c r="F609" s="87"/>
    </row>
    <row r="610">
      <c r="F610" s="87"/>
    </row>
    <row r="611">
      <c r="F611" s="87"/>
    </row>
    <row r="612">
      <c r="F612" s="87"/>
    </row>
    <row r="613">
      <c r="F613" s="87"/>
    </row>
    <row r="614">
      <c r="F614" s="87"/>
    </row>
    <row r="615">
      <c r="F615" s="87"/>
    </row>
    <row r="616">
      <c r="F616" s="87"/>
    </row>
    <row r="617">
      <c r="F617" s="87"/>
    </row>
    <row r="618">
      <c r="F618" s="87"/>
    </row>
    <row r="619">
      <c r="F619" s="87"/>
    </row>
    <row r="620">
      <c r="F620" s="87"/>
    </row>
    <row r="621">
      <c r="F621" s="87"/>
    </row>
    <row r="622">
      <c r="F622" s="87"/>
    </row>
    <row r="623">
      <c r="F623" s="87"/>
    </row>
    <row r="624">
      <c r="F624" s="87"/>
    </row>
    <row r="625">
      <c r="F625" s="87"/>
    </row>
    <row r="626">
      <c r="F626" s="87"/>
    </row>
    <row r="627">
      <c r="F627" s="87"/>
    </row>
    <row r="628">
      <c r="F628" s="87"/>
    </row>
    <row r="629">
      <c r="F629" s="87"/>
    </row>
    <row r="630">
      <c r="F630" s="87"/>
    </row>
    <row r="631">
      <c r="F631" s="87"/>
    </row>
    <row r="632">
      <c r="F632" s="87"/>
    </row>
    <row r="633">
      <c r="F633" s="87"/>
    </row>
    <row r="634">
      <c r="F634" s="87"/>
    </row>
    <row r="635">
      <c r="F635" s="87"/>
    </row>
    <row r="636">
      <c r="F636" s="87"/>
    </row>
    <row r="637">
      <c r="F637" s="87"/>
    </row>
    <row r="638">
      <c r="F638" s="87"/>
    </row>
    <row r="639">
      <c r="F639" s="87"/>
    </row>
    <row r="640">
      <c r="F640" s="87"/>
    </row>
    <row r="641">
      <c r="F641" s="87"/>
    </row>
    <row r="642">
      <c r="F642" s="87"/>
    </row>
    <row r="643">
      <c r="F643" s="87"/>
    </row>
    <row r="644">
      <c r="F644" s="87"/>
    </row>
    <row r="645">
      <c r="F645" s="87"/>
    </row>
    <row r="646">
      <c r="F646" s="87"/>
    </row>
    <row r="647">
      <c r="F647" s="87"/>
    </row>
    <row r="648">
      <c r="F648" s="87"/>
    </row>
    <row r="649">
      <c r="F649" s="87"/>
    </row>
    <row r="650">
      <c r="F650" s="87"/>
    </row>
    <row r="651">
      <c r="F651" s="87"/>
    </row>
    <row r="652">
      <c r="F652" s="87"/>
    </row>
    <row r="653">
      <c r="F653" s="87"/>
    </row>
    <row r="654">
      <c r="F654" s="87"/>
    </row>
    <row r="655">
      <c r="F655" s="87"/>
    </row>
    <row r="656">
      <c r="F656" s="87"/>
    </row>
    <row r="657">
      <c r="F657" s="87"/>
    </row>
    <row r="658">
      <c r="F658" s="87"/>
    </row>
    <row r="659">
      <c r="F659" s="87"/>
    </row>
    <row r="660">
      <c r="F660" s="87"/>
    </row>
    <row r="661">
      <c r="F661" s="87"/>
    </row>
    <row r="662">
      <c r="F662" s="87"/>
    </row>
    <row r="663">
      <c r="F663" s="87"/>
    </row>
    <row r="664">
      <c r="F664" s="87"/>
    </row>
    <row r="665">
      <c r="F665" s="87"/>
    </row>
    <row r="666">
      <c r="F666" s="87"/>
    </row>
    <row r="667">
      <c r="F667" s="87"/>
    </row>
    <row r="668">
      <c r="F668" s="87"/>
    </row>
    <row r="669">
      <c r="F669" s="87"/>
    </row>
    <row r="670">
      <c r="F670" s="87"/>
    </row>
    <row r="671">
      <c r="F671" s="87"/>
    </row>
    <row r="672">
      <c r="F672" s="87"/>
    </row>
    <row r="673">
      <c r="F673" s="87"/>
    </row>
    <row r="674">
      <c r="F674" s="87"/>
    </row>
    <row r="675">
      <c r="F675" s="87"/>
    </row>
    <row r="676">
      <c r="F676" s="87"/>
    </row>
    <row r="677">
      <c r="F677" s="87"/>
    </row>
    <row r="678">
      <c r="F678" s="87"/>
    </row>
    <row r="679">
      <c r="F679" s="87"/>
    </row>
    <row r="680">
      <c r="F680" s="87"/>
    </row>
    <row r="681">
      <c r="F681" s="87"/>
    </row>
    <row r="682">
      <c r="F682" s="87"/>
    </row>
    <row r="683">
      <c r="F683" s="87"/>
    </row>
    <row r="684">
      <c r="F684" s="87"/>
    </row>
    <row r="685">
      <c r="F685" s="87"/>
    </row>
    <row r="686">
      <c r="F686" s="87"/>
    </row>
    <row r="687">
      <c r="F687" s="87"/>
    </row>
    <row r="688">
      <c r="F688" s="87"/>
    </row>
    <row r="689">
      <c r="F689" s="87"/>
    </row>
    <row r="690">
      <c r="F690" s="87"/>
    </row>
    <row r="691">
      <c r="F691" s="87"/>
    </row>
    <row r="692">
      <c r="F692" s="87"/>
    </row>
    <row r="693">
      <c r="F693" s="87"/>
    </row>
    <row r="694">
      <c r="F694" s="87"/>
    </row>
    <row r="695">
      <c r="F695" s="87"/>
    </row>
    <row r="696">
      <c r="F696" s="87"/>
    </row>
    <row r="697">
      <c r="F697" s="87"/>
    </row>
    <row r="698">
      <c r="F698" s="87"/>
    </row>
    <row r="699">
      <c r="F699" s="87"/>
    </row>
    <row r="700">
      <c r="F700" s="87"/>
    </row>
    <row r="701">
      <c r="F701" s="87"/>
    </row>
    <row r="702">
      <c r="F702" s="87"/>
    </row>
    <row r="703">
      <c r="F703" s="87"/>
    </row>
    <row r="704">
      <c r="F704" s="87"/>
    </row>
    <row r="705">
      <c r="F705" s="87"/>
    </row>
    <row r="706">
      <c r="F706" s="87"/>
    </row>
    <row r="707">
      <c r="F707" s="87"/>
    </row>
    <row r="708">
      <c r="F708" s="87"/>
    </row>
    <row r="709">
      <c r="F709" s="87"/>
    </row>
    <row r="710">
      <c r="F710" s="87"/>
    </row>
    <row r="711">
      <c r="F711" s="87"/>
    </row>
    <row r="712">
      <c r="F712" s="87"/>
    </row>
    <row r="713">
      <c r="F713" s="87"/>
    </row>
    <row r="714">
      <c r="F714" s="87"/>
    </row>
    <row r="715">
      <c r="F715" s="87"/>
    </row>
    <row r="716">
      <c r="F716" s="87"/>
    </row>
    <row r="717">
      <c r="F717" s="87"/>
    </row>
    <row r="718">
      <c r="F718" s="87"/>
    </row>
    <row r="719">
      <c r="F719" s="87"/>
    </row>
    <row r="720">
      <c r="F720" s="87"/>
    </row>
    <row r="721">
      <c r="F721" s="87"/>
    </row>
    <row r="722">
      <c r="F722" s="87"/>
    </row>
    <row r="723">
      <c r="F723" s="87"/>
    </row>
    <row r="724">
      <c r="F724" s="87"/>
    </row>
    <row r="725">
      <c r="F725" s="87"/>
    </row>
    <row r="726">
      <c r="F726" s="87"/>
    </row>
    <row r="727">
      <c r="F727" s="87"/>
    </row>
    <row r="728">
      <c r="F728" s="87"/>
    </row>
    <row r="729">
      <c r="F729" s="87"/>
    </row>
    <row r="730">
      <c r="F730" s="87"/>
    </row>
    <row r="731">
      <c r="F731" s="87"/>
    </row>
    <row r="732">
      <c r="F732" s="87"/>
    </row>
    <row r="733">
      <c r="F733" s="87"/>
    </row>
    <row r="734">
      <c r="F734" s="87"/>
    </row>
    <row r="735">
      <c r="F735" s="87"/>
    </row>
    <row r="736">
      <c r="F736" s="87"/>
    </row>
    <row r="737">
      <c r="F737" s="87"/>
    </row>
    <row r="738">
      <c r="F738" s="87"/>
    </row>
    <row r="739">
      <c r="F739" s="87"/>
    </row>
    <row r="740">
      <c r="F740" s="87"/>
    </row>
    <row r="741">
      <c r="F741" s="87"/>
    </row>
    <row r="742">
      <c r="F742" s="87"/>
    </row>
    <row r="743">
      <c r="F743" s="87"/>
    </row>
    <row r="744">
      <c r="F744" s="87"/>
    </row>
    <row r="745">
      <c r="F745" s="87"/>
    </row>
    <row r="746">
      <c r="F746" s="87"/>
    </row>
    <row r="747">
      <c r="F747" s="87"/>
    </row>
    <row r="748">
      <c r="F748" s="87"/>
    </row>
    <row r="749">
      <c r="F749" s="87"/>
    </row>
    <row r="750">
      <c r="F750" s="87"/>
    </row>
    <row r="751">
      <c r="F751" s="87"/>
    </row>
    <row r="752">
      <c r="F752" s="87"/>
    </row>
    <row r="753">
      <c r="F753" s="87"/>
    </row>
    <row r="754">
      <c r="F754" s="87"/>
    </row>
    <row r="755">
      <c r="F755" s="87"/>
    </row>
    <row r="756">
      <c r="F756" s="87"/>
    </row>
    <row r="757">
      <c r="F757" s="87"/>
    </row>
    <row r="758">
      <c r="F758" s="87"/>
    </row>
    <row r="759">
      <c r="F759" s="87"/>
    </row>
    <row r="760">
      <c r="F760" s="87"/>
    </row>
    <row r="761">
      <c r="F761" s="87"/>
    </row>
    <row r="762">
      <c r="F762" s="87"/>
    </row>
    <row r="763">
      <c r="F763" s="87"/>
    </row>
    <row r="764">
      <c r="F764" s="87"/>
    </row>
    <row r="765">
      <c r="F765" s="87"/>
    </row>
    <row r="766">
      <c r="F766" s="87"/>
    </row>
    <row r="767">
      <c r="F767" s="87"/>
    </row>
    <row r="768">
      <c r="F768" s="87"/>
    </row>
    <row r="769">
      <c r="F769" s="87"/>
    </row>
    <row r="770">
      <c r="F770" s="87"/>
    </row>
    <row r="771">
      <c r="F771" s="87"/>
    </row>
    <row r="772">
      <c r="F772" s="87"/>
    </row>
    <row r="773">
      <c r="F773" s="87"/>
    </row>
    <row r="774">
      <c r="F774" s="87"/>
    </row>
    <row r="775">
      <c r="F775" s="87"/>
    </row>
    <row r="776">
      <c r="F776" s="87"/>
    </row>
    <row r="777">
      <c r="F777" s="87"/>
    </row>
    <row r="778">
      <c r="F778" s="87"/>
    </row>
    <row r="779">
      <c r="F779" s="87"/>
    </row>
    <row r="780">
      <c r="F780" s="87"/>
    </row>
    <row r="781">
      <c r="F781" s="87"/>
    </row>
    <row r="782">
      <c r="F782" s="87"/>
    </row>
    <row r="783">
      <c r="F783" s="87"/>
    </row>
    <row r="784">
      <c r="F784" s="87"/>
    </row>
    <row r="785">
      <c r="F785" s="87"/>
    </row>
    <row r="786">
      <c r="F786" s="87"/>
    </row>
    <row r="787">
      <c r="F787" s="87"/>
    </row>
    <row r="788">
      <c r="F788" s="87"/>
    </row>
    <row r="789">
      <c r="F789" s="87"/>
    </row>
    <row r="790">
      <c r="F790" s="87"/>
    </row>
    <row r="791">
      <c r="F791" s="87"/>
    </row>
    <row r="792">
      <c r="F792" s="87"/>
    </row>
    <row r="793">
      <c r="F793" s="87"/>
    </row>
    <row r="794">
      <c r="F794" s="87"/>
    </row>
    <row r="795">
      <c r="F795" s="87"/>
    </row>
    <row r="796">
      <c r="F796" s="87"/>
    </row>
    <row r="797">
      <c r="F797" s="87"/>
    </row>
    <row r="798">
      <c r="F798" s="87"/>
    </row>
    <row r="799">
      <c r="F799" s="87"/>
    </row>
    <row r="800">
      <c r="F800" s="87"/>
    </row>
    <row r="801">
      <c r="F801" s="87"/>
    </row>
    <row r="802">
      <c r="F802" s="87"/>
    </row>
    <row r="803">
      <c r="F803" s="87"/>
    </row>
    <row r="804">
      <c r="F804" s="87"/>
    </row>
    <row r="805">
      <c r="F805" s="87"/>
    </row>
    <row r="806">
      <c r="F806" s="87"/>
    </row>
    <row r="807">
      <c r="F807" s="87"/>
    </row>
    <row r="808">
      <c r="F808" s="87"/>
    </row>
    <row r="809">
      <c r="F809" s="87"/>
    </row>
    <row r="810">
      <c r="F810" s="87"/>
    </row>
    <row r="811">
      <c r="F811" s="87"/>
    </row>
    <row r="812">
      <c r="F812" s="87"/>
    </row>
    <row r="813">
      <c r="F813" s="87"/>
    </row>
    <row r="814">
      <c r="F814" s="87"/>
    </row>
    <row r="815">
      <c r="F815" s="87"/>
    </row>
    <row r="816">
      <c r="F816" s="87"/>
    </row>
    <row r="817">
      <c r="F817" s="87"/>
    </row>
    <row r="818">
      <c r="F818" s="87"/>
    </row>
    <row r="819">
      <c r="F819" s="87"/>
    </row>
    <row r="820">
      <c r="F820" s="87"/>
    </row>
    <row r="821">
      <c r="F821" s="87"/>
    </row>
    <row r="822">
      <c r="F822" s="87"/>
    </row>
    <row r="823">
      <c r="F823" s="87"/>
    </row>
    <row r="824">
      <c r="F824" s="87"/>
    </row>
    <row r="825">
      <c r="F825" s="87"/>
    </row>
    <row r="826">
      <c r="F826" s="87"/>
    </row>
    <row r="827">
      <c r="F827" s="87"/>
    </row>
    <row r="828">
      <c r="F828" s="87"/>
    </row>
    <row r="829">
      <c r="F829" s="87"/>
    </row>
    <row r="830">
      <c r="F830" s="87"/>
    </row>
    <row r="831">
      <c r="F831" s="87"/>
    </row>
    <row r="832">
      <c r="F832" s="87"/>
    </row>
    <row r="833">
      <c r="F833" s="87"/>
    </row>
    <row r="834">
      <c r="F834" s="87"/>
    </row>
    <row r="835">
      <c r="F835" s="87"/>
    </row>
    <row r="836">
      <c r="F836" s="87"/>
    </row>
    <row r="837">
      <c r="F837" s="87"/>
    </row>
    <row r="838">
      <c r="F838" s="87"/>
    </row>
    <row r="839">
      <c r="F839" s="87"/>
    </row>
    <row r="840">
      <c r="F840" s="87"/>
    </row>
    <row r="841">
      <c r="F841" s="87"/>
    </row>
    <row r="842">
      <c r="F842" s="87"/>
    </row>
    <row r="843">
      <c r="F843" s="87"/>
    </row>
    <row r="844">
      <c r="F844" s="87"/>
    </row>
    <row r="845">
      <c r="F845" s="87"/>
    </row>
    <row r="846">
      <c r="F846" s="87"/>
    </row>
    <row r="847">
      <c r="F847" s="87"/>
    </row>
    <row r="848">
      <c r="F848" s="87"/>
    </row>
    <row r="849">
      <c r="F849" s="87"/>
    </row>
    <row r="850">
      <c r="F850" s="87"/>
    </row>
    <row r="851">
      <c r="F851" s="87"/>
    </row>
    <row r="852">
      <c r="F852" s="87"/>
    </row>
    <row r="853">
      <c r="F853" s="87"/>
    </row>
    <row r="854">
      <c r="F854" s="87"/>
    </row>
    <row r="855">
      <c r="F855" s="87"/>
    </row>
    <row r="856">
      <c r="F856" s="87"/>
    </row>
    <row r="857">
      <c r="F857" s="87"/>
    </row>
    <row r="858">
      <c r="F858" s="87"/>
    </row>
    <row r="859">
      <c r="F859" s="87"/>
    </row>
    <row r="860">
      <c r="F860" s="87"/>
    </row>
    <row r="861">
      <c r="F861" s="87"/>
    </row>
    <row r="862">
      <c r="F862" s="87"/>
    </row>
    <row r="863">
      <c r="F863" s="87"/>
    </row>
    <row r="864">
      <c r="F864" s="87"/>
    </row>
    <row r="865">
      <c r="F865" s="87"/>
    </row>
    <row r="866">
      <c r="F866" s="87"/>
    </row>
    <row r="867">
      <c r="F867" s="87"/>
    </row>
    <row r="868">
      <c r="F868" s="87"/>
    </row>
    <row r="869">
      <c r="F869" s="87"/>
    </row>
    <row r="870">
      <c r="F870" s="87"/>
    </row>
    <row r="871">
      <c r="F871" s="87"/>
    </row>
    <row r="872">
      <c r="F872" s="87"/>
    </row>
    <row r="873">
      <c r="F873" s="87"/>
    </row>
    <row r="874">
      <c r="F874" s="87"/>
    </row>
    <row r="875">
      <c r="F875" s="87"/>
    </row>
    <row r="876">
      <c r="F876" s="87"/>
    </row>
    <row r="877">
      <c r="F877" s="87"/>
    </row>
    <row r="878">
      <c r="F878" s="87"/>
    </row>
    <row r="879">
      <c r="F879" s="87"/>
    </row>
    <row r="880">
      <c r="F880" s="87"/>
    </row>
    <row r="881">
      <c r="F881" s="87"/>
    </row>
    <row r="882">
      <c r="F882" s="87"/>
    </row>
    <row r="883">
      <c r="F883" s="87"/>
    </row>
    <row r="884">
      <c r="F884" s="87"/>
    </row>
    <row r="885">
      <c r="F885" s="87"/>
    </row>
    <row r="886">
      <c r="F886" s="87"/>
    </row>
    <row r="887">
      <c r="F887" s="87"/>
    </row>
    <row r="888">
      <c r="F888" s="87"/>
    </row>
    <row r="889">
      <c r="F889" s="87"/>
    </row>
    <row r="890">
      <c r="F890" s="87"/>
    </row>
    <row r="891">
      <c r="F891" s="87"/>
    </row>
    <row r="892">
      <c r="F892" s="87"/>
    </row>
    <row r="893">
      <c r="F893" s="87"/>
    </row>
    <row r="894">
      <c r="F894" s="87"/>
    </row>
    <row r="895">
      <c r="F895" s="87"/>
    </row>
    <row r="896">
      <c r="F896" s="87"/>
    </row>
    <row r="897">
      <c r="F897" s="87"/>
    </row>
    <row r="898">
      <c r="F898" s="87"/>
    </row>
    <row r="899">
      <c r="F899" s="87"/>
    </row>
    <row r="900">
      <c r="F900" s="87"/>
    </row>
    <row r="901">
      <c r="F901" s="87"/>
    </row>
    <row r="902">
      <c r="F902" s="87"/>
    </row>
    <row r="903">
      <c r="F903" s="87"/>
    </row>
    <row r="904">
      <c r="F904" s="87"/>
    </row>
    <row r="905">
      <c r="F905" s="87"/>
    </row>
    <row r="906">
      <c r="F906" s="87"/>
    </row>
    <row r="907">
      <c r="F907" s="87"/>
    </row>
    <row r="908">
      <c r="F908" s="87"/>
    </row>
    <row r="909">
      <c r="F909" s="87"/>
    </row>
    <row r="910">
      <c r="F910" s="87"/>
    </row>
    <row r="911">
      <c r="F911" s="87"/>
    </row>
    <row r="912">
      <c r="F912" s="87"/>
    </row>
    <row r="913">
      <c r="F913" s="87"/>
    </row>
    <row r="914">
      <c r="F914" s="87"/>
    </row>
    <row r="915">
      <c r="F915" s="87"/>
    </row>
    <row r="916">
      <c r="F916" s="87"/>
    </row>
    <row r="917">
      <c r="F917" s="87"/>
    </row>
    <row r="918">
      <c r="F918" s="87"/>
    </row>
    <row r="919">
      <c r="F919" s="87"/>
    </row>
    <row r="920">
      <c r="F920" s="87"/>
    </row>
    <row r="921">
      <c r="F921" s="87"/>
    </row>
    <row r="922">
      <c r="F922" s="87"/>
    </row>
    <row r="923">
      <c r="F923" s="87"/>
    </row>
    <row r="924">
      <c r="F924" s="87"/>
    </row>
    <row r="925">
      <c r="F925" s="87"/>
    </row>
    <row r="926">
      <c r="F926" s="87"/>
    </row>
    <row r="927">
      <c r="F927" s="87"/>
    </row>
    <row r="928">
      <c r="F928" s="87"/>
    </row>
    <row r="929">
      <c r="F929" s="87"/>
    </row>
    <row r="930">
      <c r="F930" s="87"/>
    </row>
    <row r="931">
      <c r="F931" s="87"/>
    </row>
    <row r="932">
      <c r="F932" s="87"/>
    </row>
    <row r="933">
      <c r="F933" s="87"/>
    </row>
    <row r="934">
      <c r="F934" s="87"/>
    </row>
    <row r="935">
      <c r="F935" s="87"/>
    </row>
    <row r="936">
      <c r="F936" s="87"/>
    </row>
    <row r="937">
      <c r="F937" s="87"/>
    </row>
    <row r="938">
      <c r="F938" s="87"/>
    </row>
    <row r="939">
      <c r="F939" s="87"/>
    </row>
    <row r="940">
      <c r="F940" s="87"/>
    </row>
    <row r="941">
      <c r="F941" s="87"/>
    </row>
    <row r="942">
      <c r="F942" s="87"/>
    </row>
    <row r="943">
      <c r="F943" s="87"/>
    </row>
    <row r="944">
      <c r="F944" s="87"/>
    </row>
    <row r="945">
      <c r="F945" s="87"/>
    </row>
    <row r="946">
      <c r="F946" s="87"/>
    </row>
    <row r="947">
      <c r="F947" s="87"/>
    </row>
    <row r="948">
      <c r="F948" s="87"/>
    </row>
    <row r="949">
      <c r="F949" s="87"/>
    </row>
    <row r="950">
      <c r="F950" s="87"/>
    </row>
    <row r="951">
      <c r="F951" s="87"/>
    </row>
    <row r="952">
      <c r="F952" s="87"/>
    </row>
    <row r="953">
      <c r="F953" s="87"/>
    </row>
    <row r="954">
      <c r="F954" s="87"/>
    </row>
    <row r="955">
      <c r="F955" s="87"/>
    </row>
    <row r="956">
      <c r="F956" s="87"/>
    </row>
    <row r="957">
      <c r="F957" s="87"/>
    </row>
    <row r="958">
      <c r="F958" s="87"/>
    </row>
    <row r="959">
      <c r="F959" s="87"/>
    </row>
    <row r="960">
      <c r="F960" s="87"/>
    </row>
    <row r="961">
      <c r="F961" s="87"/>
    </row>
    <row r="962">
      <c r="F962" s="87"/>
    </row>
    <row r="963">
      <c r="F963" s="87"/>
    </row>
    <row r="964">
      <c r="F964" s="87"/>
    </row>
    <row r="965">
      <c r="F965" s="87"/>
    </row>
    <row r="966">
      <c r="F966" s="87"/>
    </row>
    <row r="967">
      <c r="F967" s="87"/>
    </row>
    <row r="968">
      <c r="F968" s="87"/>
    </row>
    <row r="969">
      <c r="F969" s="87"/>
    </row>
    <row r="970">
      <c r="F970" s="87"/>
    </row>
    <row r="971">
      <c r="F971" s="87"/>
    </row>
    <row r="972">
      <c r="F972" s="87"/>
    </row>
    <row r="973">
      <c r="F973" s="87"/>
    </row>
    <row r="974">
      <c r="F974" s="87"/>
    </row>
    <row r="975">
      <c r="F975" s="87"/>
    </row>
    <row r="976">
      <c r="F976" s="87"/>
    </row>
    <row r="977">
      <c r="F977" s="87"/>
    </row>
    <row r="978">
      <c r="F978" s="87"/>
    </row>
    <row r="979">
      <c r="F979" s="87"/>
    </row>
    <row r="980">
      <c r="F980" s="87"/>
    </row>
    <row r="981">
      <c r="F981" s="87"/>
    </row>
    <row r="982">
      <c r="F982" s="87"/>
    </row>
    <row r="983">
      <c r="F983" s="87"/>
    </row>
    <row r="984">
      <c r="F984" s="87"/>
    </row>
    <row r="985">
      <c r="F985" s="87"/>
    </row>
    <row r="986">
      <c r="F986" s="87"/>
    </row>
    <row r="987">
      <c r="F987" s="87"/>
    </row>
    <row r="988">
      <c r="F988" s="87"/>
    </row>
    <row r="989">
      <c r="F989" s="87"/>
    </row>
    <row r="990">
      <c r="F990" s="87"/>
    </row>
    <row r="991">
      <c r="F991" s="87"/>
    </row>
    <row r="992">
      <c r="F992" s="87"/>
    </row>
    <row r="993">
      <c r="F993" s="87"/>
    </row>
    <row r="994">
      <c r="F994" s="87"/>
    </row>
    <row r="995">
      <c r="F995" s="87"/>
    </row>
    <row r="996">
      <c r="F996" s="87"/>
    </row>
    <row r="997">
      <c r="F997" s="87"/>
    </row>
    <row r="998">
      <c r="F998" s="87"/>
    </row>
    <row r="999">
      <c r="F999" s="87"/>
    </row>
    <row r="1000">
      <c r="F1000" s="87"/>
    </row>
  </sheetData>
  <dataValidations>
    <dataValidation type="list" allowBlank="1" showErrorMessage="1" sqref="G3">
      <formula1>'Поиск (копия)'!$F:$F</formula1>
    </dataValidation>
    <dataValidation type="list" allowBlank="1" showErrorMessage="1" sqref="A3">
      <formula1>"Фокус на благополучателе,Фокус на секторе,Фокус на социокультурных благах"</formula1>
    </dataValidation>
    <dataValidation type="list" allowBlank="1" showErrorMessage="1" sqref="D3">
      <formula1>'Поиск (копия)'!$C:$C</formula1>
    </dataValidation>
    <dataValidation type="list" allowBlank="1" showErrorMessage="1" sqref="K3">
      <formula1>'Поиск (копия)'!$J:$J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9.88"/>
    <col customWidth="1" min="3" max="3" width="28.63"/>
    <col customWidth="1" min="4" max="4" width="18.38"/>
    <col customWidth="1" min="5" max="5" width="17.63"/>
    <col customWidth="1" min="6" max="6" width="18.13"/>
    <col customWidth="1" min="7" max="7" width="18.38"/>
    <col customWidth="1" min="8" max="8" width="19.88"/>
    <col customWidth="1" min="9" max="9" width="20.25"/>
  </cols>
  <sheetData>
    <row r="1">
      <c r="A1" s="91" t="s">
        <v>119</v>
      </c>
      <c r="B1" s="92" t="s">
        <v>120</v>
      </c>
      <c r="C1" s="93" t="s">
        <v>121</v>
      </c>
      <c r="D1" s="94" t="s">
        <v>122</v>
      </c>
      <c r="E1" s="95" t="s">
        <v>123</v>
      </c>
      <c r="F1" s="96" t="s">
        <v>124</v>
      </c>
      <c r="G1" s="97" t="s">
        <v>125</v>
      </c>
      <c r="H1" s="98" t="s">
        <v>126</v>
      </c>
      <c r="I1" s="99" t="s">
        <v>127</v>
      </c>
    </row>
    <row r="2">
      <c r="A2" s="100" t="s">
        <v>94</v>
      </c>
      <c r="B2" s="92" t="s">
        <v>128</v>
      </c>
      <c r="C2" s="93" t="s">
        <v>129</v>
      </c>
      <c r="D2" s="94" t="s">
        <v>130</v>
      </c>
      <c r="E2" s="95" t="s">
        <v>131</v>
      </c>
      <c r="F2" s="96" t="s">
        <v>132</v>
      </c>
      <c r="G2" s="97" t="s">
        <v>133</v>
      </c>
      <c r="H2" s="98" t="s">
        <v>134</v>
      </c>
      <c r="I2" s="99" t="s">
        <v>135</v>
      </c>
    </row>
    <row r="3">
      <c r="A3" s="101" t="s">
        <v>95</v>
      </c>
      <c r="B3" s="92" t="s">
        <v>136</v>
      </c>
      <c r="C3" s="93" t="s">
        <v>137</v>
      </c>
      <c r="D3" s="94" t="s">
        <v>138</v>
      </c>
      <c r="E3" s="95" t="s">
        <v>139</v>
      </c>
      <c r="F3" s="96" t="s">
        <v>140</v>
      </c>
      <c r="G3" s="97" t="s">
        <v>141</v>
      </c>
      <c r="H3" s="98" t="s">
        <v>142</v>
      </c>
      <c r="I3" s="99" t="s">
        <v>143</v>
      </c>
    </row>
    <row r="4">
      <c r="A4" s="102" t="s">
        <v>97</v>
      </c>
      <c r="B4" s="92" t="s">
        <v>144</v>
      </c>
      <c r="C4" s="93" t="s">
        <v>145</v>
      </c>
      <c r="D4" s="94" t="s">
        <v>146</v>
      </c>
      <c r="E4" s="95" t="s">
        <v>147</v>
      </c>
      <c r="F4" s="96" t="s">
        <v>148</v>
      </c>
      <c r="G4" s="97" t="s">
        <v>149</v>
      </c>
      <c r="H4" s="98" t="s">
        <v>150</v>
      </c>
      <c r="I4" s="99" t="s">
        <v>151</v>
      </c>
    </row>
    <row r="5">
      <c r="A5" s="103" t="s">
        <v>99</v>
      </c>
      <c r="B5" s="92" t="s">
        <v>152</v>
      </c>
      <c r="C5" s="104"/>
      <c r="D5" s="105"/>
      <c r="E5" s="95" t="s">
        <v>153</v>
      </c>
      <c r="F5" s="96" t="s">
        <v>154</v>
      </c>
      <c r="G5" s="97" t="s">
        <v>155</v>
      </c>
      <c r="H5" s="98" t="s">
        <v>70</v>
      </c>
      <c r="I5" s="99" t="s">
        <v>156</v>
      </c>
    </row>
    <row r="6">
      <c r="A6" s="106" t="s">
        <v>101</v>
      </c>
      <c r="B6" s="92" t="s">
        <v>157</v>
      </c>
      <c r="C6" s="104"/>
      <c r="D6" s="105"/>
      <c r="E6" s="95" t="s">
        <v>158</v>
      </c>
      <c r="F6" s="96" t="s">
        <v>159</v>
      </c>
      <c r="G6" s="97" t="s">
        <v>160</v>
      </c>
      <c r="H6" s="98" t="s">
        <v>64</v>
      </c>
      <c r="I6" s="99" t="s">
        <v>161</v>
      </c>
    </row>
    <row r="7">
      <c r="A7" s="107" t="s">
        <v>102</v>
      </c>
      <c r="B7" s="92" t="s">
        <v>162</v>
      </c>
      <c r="C7" s="104"/>
      <c r="D7" s="105"/>
      <c r="E7" s="95" t="s">
        <v>163</v>
      </c>
      <c r="F7" s="96" t="s">
        <v>164</v>
      </c>
      <c r="G7" s="97" t="s">
        <v>165</v>
      </c>
      <c r="H7" s="98" t="s">
        <v>166</v>
      </c>
      <c r="I7" s="99" t="s">
        <v>167</v>
      </c>
    </row>
    <row r="8">
      <c r="A8" s="90" t="s">
        <v>104</v>
      </c>
      <c r="B8" s="92" t="s">
        <v>168</v>
      </c>
      <c r="C8" s="104"/>
      <c r="D8" s="105"/>
      <c r="E8" s="95" t="s">
        <v>169</v>
      </c>
      <c r="F8" s="108"/>
      <c r="G8" s="97" t="s">
        <v>170</v>
      </c>
      <c r="H8" s="98" t="s">
        <v>171</v>
      </c>
      <c r="I8" s="99" t="s">
        <v>172</v>
      </c>
    </row>
    <row r="9">
      <c r="B9" s="92" t="s">
        <v>173</v>
      </c>
      <c r="C9" s="104"/>
      <c r="D9" s="105"/>
      <c r="E9" s="109"/>
      <c r="F9" s="108"/>
      <c r="G9" s="97" t="s">
        <v>174</v>
      </c>
      <c r="H9" s="98" t="s">
        <v>175</v>
      </c>
      <c r="I9" s="99" t="s">
        <v>176</v>
      </c>
    </row>
    <row r="10">
      <c r="B10" s="110"/>
      <c r="C10" s="104"/>
      <c r="D10" s="105"/>
      <c r="E10" s="109"/>
      <c r="F10" s="108"/>
      <c r="G10" s="111"/>
      <c r="H10" s="98" t="s">
        <v>177</v>
      </c>
    </row>
    <row r="11">
      <c r="B11" s="110"/>
      <c r="C11" s="104"/>
      <c r="D11" s="105"/>
      <c r="E11" s="109"/>
      <c r="F11" s="108"/>
      <c r="G11" s="111"/>
      <c r="H11" s="112"/>
    </row>
    <row r="12">
      <c r="B12" s="110"/>
      <c r="C12" s="104"/>
      <c r="D12" s="105"/>
      <c r="E12" s="109"/>
      <c r="F12" s="108"/>
      <c r="G12" s="111"/>
      <c r="H12" s="112"/>
    </row>
    <row r="13">
      <c r="B13" s="110"/>
      <c r="C13" s="104"/>
      <c r="D13" s="105"/>
      <c r="E13" s="109"/>
      <c r="F13" s="108"/>
      <c r="G13" s="111"/>
      <c r="H13" s="112"/>
    </row>
    <row r="14">
      <c r="B14" s="110"/>
      <c r="C14" s="104"/>
      <c r="D14" s="105"/>
      <c r="E14" s="109"/>
      <c r="F14" s="108"/>
      <c r="G14" s="111"/>
      <c r="H14" s="112"/>
    </row>
    <row r="15">
      <c r="B15" s="110"/>
      <c r="C15" s="104"/>
      <c r="D15" s="105"/>
      <c r="E15" s="109"/>
      <c r="F15" s="108"/>
      <c r="G15" s="111"/>
      <c r="H15" s="112"/>
    </row>
    <row r="16">
      <c r="B16" s="110"/>
      <c r="C16" s="104"/>
      <c r="D16" s="105"/>
      <c r="E16" s="109"/>
      <c r="F16" s="108"/>
      <c r="G16" s="111"/>
      <c r="H16" s="112"/>
    </row>
    <row r="17">
      <c r="B17" s="110"/>
      <c r="C17" s="104"/>
      <c r="D17" s="105"/>
      <c r="E17" s="109"/>
      <c r="F17" s="108"/>
      <c r="G17" s="111"/>
      <c r="H17" s="112"/>
    </row>
    <row r="18">
      <c r="B18" s="110"/>
      <c r="C18" s="104"/>
      <c r="D18" s="105"/>
      <c r="E18" s="109"/>
      <c r="F18" s="108"/>
      <c r="G18" s="111"/>
      <c r="H18" s="112"/>
    </row>
    <row r="19">
      <c r="B19" s="110"/>
      <c r="C19" s="104"/>
      <c r="D19" s="105"/>
      <c r="E19" s="109"/>
      <c r="F19" s="108"/>
      <c r="G19" s="111"/>
      <c r="H19" s="112"/>
    </row>
    <row r="20">
      <c r="B20" s="110"/>
      <c r="C20" s="104"/>
      <c r="D20" s="105"/>
      <c r="E20" s="109"/>
      <c r="F20" s="108"/>
      <c r="G20" s="111"/>
      <c r="H20" s="112"/>
    </row>
    <row r="21">
      <c r="B21" s="110"/>
      <c r="C21" s="104"/>
      <c r="D21" s="105"/>
      <c r="E21" s="109"/>
      <c r="F21" s="108"/>
      <c r="G21" s="111"/>
      <c r="H21" s="112"/>
    </row>
    <row r="22">
      <c r="B22" s="110"/>
      <c r="C22" s="104"/>
      <c r="D22" s="105"/>
      <c r="E22" s="109"/>
      <c r="F22" s="108"/>
      <c r="G22" s="111"/>
      <c r="H22" s="112"/>
    </row>
    <row r="23">
      <c r="B23" s="110"/>
      <c r="C23" s="104"/>
      <c r="D23" s="105"/>
      <c r="E23" s="109"/>
      <c r="F23" s="108"/>
      <c r="G23" s="111"/>
      <c r="H23" s="112"/>
    </row>
    <row r="24">
      <c r="B24" s="110"/>
      <c r="C24" s="104"/>
      <c r="D24" s="105"/>
      <c r="E24" s="109"/>
      <c r="F24" s="108"/>
      <c r="G24" s="111"/>
      <c r="H24" s="112"/>
    </row>
    <row r="25">
      <c r="B25" s="110"/>
      <c r="C25" s="104"/>
      <c r="D25" s="105"/>
      <c r="E25" s="109"/>
      <c r="F25" s="108"/>
      <c r="G25" s="111"/>
      <c r="H25" s="112"/>
    </row>
    <row r="26">
      <c r="B26" s="110"/>
      <c r="C26" s="104"/>
      <c r="D26" s="105"/>
      <c r="E26" s="109"/>
      <c r="F26" s="108"/>
      <c r="G26" s="111"/>
      <c r="H26" s="112"/>
    </row>
    <row r="27">
      <c r="B27" s="110"/>
      <c r="C27" s="104"/>
      <c r="D27" s="105"/>
      <c r="E27" s="109"/>
      <c r="F27" s="108"/>
      <c r="G27" s="111"/>
      <c r="H27" s="112"/>
    </row>
    <row r="28">
      <c r="B28" s="110"/>
      <c r="C28" s="104"/>
      <c r="D28" s="105"/>
      <c r="E28" s="109"/>
      <c r="F28" s="108"/>
      <c r="G28" s="111"/>
      <c r="H28" s="112"/>
    </row>
    <row r="29">
      <c r="B29" s="110"/>
      <c r="C29" s="104"/>
      <c r="D29" s="105"/>
      <c r="E29" s="109"/>
      <c r="F29" s="108"/>
      <c r="G29" s="111"/>
      <c r="H29" s="112"/>
    </row>
    <row r="30">
      <c r="B30" s="110"/>
      <c r="C30" s="104"/>
      <c r="D30" s="105"/>
      <c r="E30" s="109"/>
      <c r="F30" s="108"/>
      <c r="G30" s="111"/>
      <c r="H30" s="112"/>
    </row>
    <row r="31">
      <c r="B31" s="110"/>
      <c r="C31" s="104"/>
      <c r="D31" s="105"/>
      <c r="E31" s="109"/>
      <c r="F31" s="108"/>
      <c r="G31" s="111"/>
      <c r="H31" s="112"/>
    </row>
    <row r="32">
      <c r="B32" s="110"/>
      <c r="C32" s="104"/>
      <c r="D32" s="105"/>
      <c r="E32" s="109"/>
      <c r="F32" s="108"/>
      <c r="G32" s="111"/>
      <c r="H32" s="112"/>
    </row>
    <row r="33">
      <c r="B33" s="110"/>
      <c r="C33" s="104"/>
      <c r="D33" s="105"/>
      <c r="E33" s="109"/>
      <c r="F33" s="108"/>
      <c r="G33" s="111"/>
      <c r="H33" s="112"/>
    </row>
    <row r="34">
      <c r="B34" s="110"/>
      <c r="C34" s="104"/>
      <c r="D34" s="105"/>
      <c r="E34" s="109"/>
      <c r="F34" s="108"/>
      <c r="G34" s="111"/>
      <c r="H34" s="112"/>
    </row>
    <row r="35">
      <c r="B35" s="110"/>
      <c r="C35" s="104"/>
      <c r="D35" s="105"/>
      <c r="E35" s="109"/>
      <c r="F35" s="108"/>
      <c r="G35" s="111"/>
      <c r="H35" s="112"/>
    </row>
    <row r="36">
      <c r="B36" s="110"/>
      <c r="C36" s="104"/>
      <c r="D36" s="105"/>
      <c r="E36" s="109"/>
      <c r="F36" s="108"/>
      <c r="G36" s="111"/>
      <c r="H36" s="112"/>
    </row>
    <row r="37">
      <c r="B37" s="110"/>
      <c r="C37" s="104"/>
      <c r="D37" s="105"/>
      <c r="E37" s="109"/>
      <c r="F37" s="108"/>
      <c r="G37" s="111"/>
      <c r="H37" s="112"/>
    </row>
    <row r="38">
      <c r="B38" s="110"/>
      <c r="C38" s="104"/>
      <c r="D38" s="105"/>
      <c r="E38" s="109"/>
      <c r="F38" s="108"/>
      <c r="G38" s="111"/>
      <c r="H38" s="112"/>
    </row>
    <row r="39">
      <c r="B39" s="110"/>
      <c r="C39" s="104"/>
      <c r="D39" s="105"/>
      <c r="E39" s="109"/>
      <c r="F39" s="108"/>
      <c r="G39" s="111"/>
      <c r="H39" s="112"/>
    </row>
    <row r="40">
      <c r="B40" s="110"/>
      <c r="C40" s="104"/>
      <c r="D40" s="105"/>
      <c r="E40" s="109"/>
      <c r="F40" s="108"/>
      <c r="G40" s="111"/>
      <c r="H40" s="112"/>
    </row>
    <row r="41">
      <c r="B41" s="110"/>
      <c r="C41" s="104"/>
      <c r="D41" s="105"/>
      <c r="E41" s="109"/>
      <c r="F41" s="108"/>
      <c r="G41" s="111"/>
      <c r="H41" s="112"/>
    </row>
    <row r="42">
      <c r="B42" s="110"/>
      <c r="C42" s="104"/>
      <c r="D42" s="105"/>
      <c r="E42" s="109"/>
      <c r="F42" s="108"/>
      <c r="G42" s="111"/>
      <c r="H42" s="112"/>
    </row>
    <row r="43">
      <c r="B43" s="110"/>
      <c r="C43" s="104"/>
      <c r="D43" s="105"/>
      <c r="E43" s="109"/>
      <c r="F43" s="108"/>
      <c r="G43" s="111"/>
      <c r="H43" s="112"/>
    </row>
    <row r="44">
      <c r="B44" s="110"/>
      <c r="C44" s="104"/>
      <c r="D44" s="105"/>
      <c r="E44" s="109"/>
      <c r="F44" s="108"/>
      <c r="G44" s="111"/>
      <c r="H44" s="112"/>
    </row>
    <row r="45">
      <c r="B45" s="110"/>
      <c r="C45" s="104"/>
      <c r="D45" s="105"/>
      <c r="E45" s="109"/>
      <c r="F45" s="108"/>
      <c r="G45" s="111"/>
      <c r="H45" s="112"/>
    </row>
    <row r="46">
      <c r="B46" s="110"/>
      <c r="C46" s="104"/>
      <c r="D46" s="105"/>
      <c r="E46" s="109"/>
      <c r="F46" s="108"/>
      <c r="G46" s="111"/>
      <c r="H46" s="112"/>
    </row>
    <row r="47">
      <c r="B47" s="110"/>
      <c r="C47" s="104"/>
      <c r="D47" s="105"/>
      <c r="E47" s="109"/>
      <c r="F47" s="108"/>
      <c r="G47" s="111"/>
      <c r="H47" s="112"/>
    </row>
    <row r="48">
      <c r="B48" s="110"/>
      <c r="C48" s="104"/>
      <c r="D48" s="105"/>
      <c r="E48" s="109"/>
      <c r="F48" s="108"/>
      <c r="G48" s="111"/>
      <c r="H48" s="112"/>
    </row>
    <row r="49">
      <c r="B49" s="110"/>
      <c r="C49" s="104"/>
      <c r="D49" s="105"/>
      <c r="E49" s="109"/>
      <c r="F49" s="108"/>
      <c r="G49" s="111"/>
      <c r="H49" s="112"/>
    </row>
    <row r="50">
      <c r="B50" s="110"/>
      <c r="C50" s="104"/>
      <c r="D50" s="105"/>
      <c r="E50" s="109"/>
      <c r="F50" s="108"/>
      <c r="G50" s="111"/>
      <c r="H50" s="112"/>
    </row>
    <row r="51">
      <c r="B51" s="110"/>
      <c r="C51" s="104"/>
      <c r="D51" s="105"/>
      <c r="E51" s="109"/>
      <c r="F51" s="108"/>
      <c r="G51" s="111"/>
      <c r="H51" s="112"/>
    </row>
    <row r="52">
      <c r="B52" s="110"/>
      <c r="C52" s="104"/>
      <c r="D52" s="105"/>
      <c r="E52" s="109"/>
      <c r="F52" s="108"/>
      <c r="G52" s="111"/>
      <c r="H52" s="112"/>
    </row>
    <row r="53">
      <c r="B53" s="110"/>
      <c r="C53" s="104"/>
      <c r="D53" s="105"/>
      <c r="E53" s="109"/>
      <c r="F53" s="108"/>
      <c r="G53" s="111"/>
      <c r="H53" s="112"/>
    </row>
    <row r="54">
      <c r="B54" s="110"/>
      <c r="C54" s="104"/>
      <c r="D54" s="105"/>
      <c r="E54" s="109"/>
      <c r="F54" s="108"/>
      <c r="G54" s="111"/>
      <c r="H54" s="112"/>
    </row>
    <row r="55">
      <c r="B55" s="110"/>
      <c r="C55" s="104"/>
      <c r="D55" s="105"/>
      <c r="E55" s="109"/>
      <c r="F55" s="108"/>
      <c r="G55" s="111"/>
      <c r="H55" s="112"/>
    </row>
    <row r="56">
      <c r="B56" s="110"/>
      <c r="C56" s="104"/>
      <c r="D56" s="105"/>
      <c r="E56" s="109"/>
      <c r="F56" s="108"/>
      <c r="G56" s="111"/>
      <c r="H56" s="112"/>
    </row>
    <row r="57">
      <c r="B57" s="110"/>
      <c r="C57" s="104"/>
      <c r="D57" s="105"/>
      <c r="E57" s="109"/>
      <c r="F57" s="108"/>
      <c r="G57" s="111"/>
      <c r="H57" s="112"/>
    </row>
    <row r="58">
      <c r="B58" s="110"/>
      <c r="C58" s="104"/>
      <c r="D58" s="105"/>
      <c r="E58" s="109"/>
      <c r="F58" s="108"/>
      <c r="G58" s="111"/>
      <c r="H58" s="112"/>
    </row>
    <row r="59">
      <c r="B59" s="110"/>
      <c r="C59" s="104"/>
      <c r="D59" s="105"/>
      <c r="E59" s="109"/>
      <c r="F59" s="108"/>
      <c r="G59" s="111"/>
      <c r="H59" s="112"/>
    </row>
    <row r="60">
      <c r="B60" s="110"/>
      <c r="C60" s="104"/>
      <c r="D60" s="105"/>
      <c r="E60" s="109"/>
      <c r="F60" s="108"/>
      <c r="G60" s="111"/>
      <c r="H60" s="112"/>
    </row>
    <row r="61">
      <c r="B61" s="110"/>
      <c r="C61" s="104"/>
      <c r="D61" s="105"/>
      <c r="E61" s="109"/>
      <c r="F61" s="108"/>
      <c r="G61" s="111"/>
      <c r="H61" s="112"/>
    </row>
    <row r="62">
      <c r="B62" s="110"/>
      <c r="C62" s="104"/>
      <c r="D62" s="105"/>
      <c r="E62" s="109"/>
      <c r="F62" s="108"/>
      <c r="G62" s="111"/>
      <c r="H62" s="112"/>
    </row>
    <row r="63">
      <c r="B63" s="110"/>
      <c r="C63" s="104"/>
      <c r="D63" s="105"/>
      <c r="E63" s="109"/>
      <c r="F63" s="108"/>
      <c r="G63" s="111"/>
      <c r="H63" s="112"/>
    </row>
    <row r="64">
      <c r="B64" s="110"/>
      <c r="C64" s="104"/>
      <c r="D64" s="105"/>
      <c r="E64" s="109"/>
      <c r="F64" s="108"/>
      <c r="G64" s="111"/>
      <c r="H64" s="112"/>
    </row>
    <row r="65">
      <c r="B65" s="110"/>
      <c r="C65" s="104"/>
      <c r="D65" s="105"/>
      <c r="E65" s="109"/>
      <c r="F65" s="108"/>
      <c r="G65" s="111"/>
      <c r="H65" s="112"/>
    </row>
    <row r="66">
      <c r="B66" s="110"/>
      <c r="C66" s="104"/>
      <c r="D66" s="105"/>
      <c r="E66" s="109"/>
      <c r="F66" s="108"/>
      <c r="G66" s="111"/>
      <c r="H66" s="112"/>
    </row>
    <row r="67">
      <c r="B67" s="110"/>
      <c r="C67" s="104"/>
      <c r="D67" s="105"/>
      <c r="E67" s="109"/>
      <c r="F67" s="108"/>
      <c r="G67" s="111"/>
      <c r="H67" s="112"/>
    </row>
    <row r="68">
      <c r="B68" s="110"/>
      <c r="C68" s="104"/>
      <c r="D68" s="105"/>
      <c r="E68" s="109"/>
      <c r="F68" s="108"/>
      <c r="G68" s="111"/>
      <c r="H68" s="112"/>
    </row>
    <row r="69">
      <c r="B69" s="110"/>
      <c r="C69" s="104"/>
      <c r="D69" s="105"/>
      <c r="E69" s="109"/>
      <c r="F69" s="108"/>
      <c r="G69" s="111"/>
      <c r="H69" s="112"/>
    </row>
    <row r="70">
      <c r="B70" s="110"/>
      <c r="C70" s="104"/>
      <c r="D70" s="105"/>
      <c r="E70" s="109"/>
      <c r="F70" s="108"/>
      <c r="G70" s="111"/>
      <c r="H70" s="112"/>
    </row>
    <row r="71">
      <c r="B71" s="110"/>
      <c r="C71" s="104"/>
      <c r="D71" s="105"/>
      <c r="E71" s="109"/>
      <c r="F71" s="108"/>
      <c r="G71" s="111"/>
      <c r="H71" s="112"/>
    </row>
    <row r="72">
      <c r="B72" s="110"/>
      <c r="C72" s="104"/>
      <c r="D72" s="105"/>
      <c r="E72" s="109"/>
      <c r="F72" s="108"/>
      <c r="G72" s="111"/>
      <c r="H72" s="112"/>
    </row>
    <row r="73">
      <c r="B73" s="110"/>
      <c r="C73" s="104"/>
      <c r="D73" s="105"/>
      <c r="E73" s="109"/>
      <c r="F73" s="108"/>
      <c r="G73" s="111"/>
      <c r="H73" s="112"/>
    </row>
    <row r="74">
      <c r="B74" s="110"/>
      <c r="C74" s="104"/>
      <c r="D74" s="105"/>
      <c r="E74" s="109"/>
      <c r="F74" s="108"/>
      <c r="G74" s="111"/>
      <c r="H74" s="112"/>
    </row>
    <row r="75">
      <c r="B75" s="110"/>
      <c r="C75" s="104"/>
      <c r="D75" s="105"/>
      <c r="E75" s="109"/>
      <c r="F75" s="108"/>
      <c r="G75" s="111"/>
      <c r="H75" s="112"/>
    </row>
    <row r="76">
      <c r="B76" s="110"/>
      <c r="C76" s="104"/>
      <c r="D76" s="105"/>
      <c r="E76" s="109"/>
      <c r="F76" s="108"/>
      <c r="G76" s="111"/>
      <c r="H76" s="112"/>
    </row>
    <row r="77">
      <c r="B77" s="110"/>
      <c r="C77" s="104"/>
      <c r="D77" s="105"/>
      <c r="E77" s="109"/>
      <c r="F77" s="108"/>
      <c r="G77" s="111"/>
      <c r="H77" s="112"/>
    </row>
    <row r="78">
      <c r="B78" s="110"/>
      <c r="C78" s="104"/>
      <c r="D78" s="105"/>
      <c r="E78" s="109"/>
      <c r="F78" s="108"/>
      <c r="G78" s="111"/>
      <c r="H78" s="112"/>
    </row>
    <row r="79">
      <c r="B79" s="110"/>
      <c r="C79" s="104"/>
      <c r="D79" s="105"/>
      <c r="E79" s="109"/>
      <c r="F79" s="108"/>
      <c r="G79" s="111"/>
      <c r="H79" s="112"/>
    </row>
    <row r="80">
      <c r="B80" s="110"/>
      <c r="C80" s="104"/>
      <c r="D80" s="105"/>
      <c r="E80" s="109"/>
      <c r="F80" s="108"/>
      <c r="G80" s="111"/>
      <c r="H80" s="112"/>
    </row>
    <row r="81">
      <c r="B81" s="110"/>
      <c r="C81" s="104"/>
      <c r="D81" s="105"/>
      <c r="E81" s="109"/>
      <c r="F81" s="108"/>
      <c r="G81" s="111"/>
      <c r="H81" s="112"/>
    </row>
    <row r="82">
      <c r="B82" s="110"/>
      <c r="C82" s="104"/>
      <c r="D82" s="105"/>
      <c r="E82" s="109"/>
      <c r="F82" s="108"/>
      <c r="G82" s="111"/>
      <c r="H82" s="112"/>
    </row>
    <row r="83">
      <c r="B83" s="110"/>
      <c r="C83" s="104"/>
      <c r="D83" s="105"/>
      <c r="E83" s="109"/>
      <c r="F83" s="108"/>
      <c r="G83" s="111"/>
      <c r="H83" s="112"/>
    </row>
    <row r="84">
      <c r="B84" s="110"/>
      <c r="C84" s="104"/>
      <c r="D84" s="105"/>
      <c r="E84" s="109"/>
      <c r="F84" s="108"/>
      <c r="G84" s="111"/>
      <c r="H84" s="112"/>
    </row>
    <row r="85">
      <c r="B85" s="110"/>
      <c r="C85" s="104"/>
      <c r="D85" s="105"/>
      <c r="E85" s="109"/>
      <c r="F85" s="108"/>
      <c r="G85" s="111"/>
      <c r="H85" s="112"/>
    </row>
    <row r="86">
      <c r="B86" s="110"/>
      <c r="C86" s="104"/>
      <c r="D86" s="105"/>
      <c r="E86" s="109"/>
      <c r="F86" s="108"/>
      <c r="G86" s="111"/>
      <c r="H86" s="112"/>
    </row>
    <row r="87">
      <c r="B87" s="110"/>
      <c r="C87" s="104"/>
      <c r="D87" s="105"/>
      <c r="E87" s="109"/>
      <c r="F87" s="108"/>
      <c r="G87" s="111"/>
      <c r="H87" s="112"/>
    </row>
    <row r="88">
      <c r="B88" s="110"/>
      <c r="C88" s="104"/>
      <c r="D88" s="105"/>
      <c r="E88" s="109"/>
      <c r="F88" s="108"/>
      <c r="G88" s="111"/>
      <c r="H88" s="112"/>
    </row>
    <row r="89">
      <c r="B89" s="110"/>
      <c r="C89" s="104"/>
      <c r="D89" s="105"/>
      <c r="E89" s="109"/>
      <c r="F89" s="108"/>
      <c r="G89" s="111"/>
      <c r="H89" s="112"/>
    </row>
    <row r="90">
      <c r="B90" s="110"/>
      <c r="C90" s="104"/>
      <c r="D90" s="105"/>
      <c r="E90" s="109"/>
      <c r="F90" s="108"/>
      <c r="G90" s="111"/>
      <c r="H90" s="112"/>
    </row>
    <row r="91">
      <c r="B91" s="110"/>
      <c r="C91" s="104"/>
      <c r="D91" s="105"/>
      <c r="E91" s="109"/>
      <c r="F91" s="108"/>
      <c r="G91" s="111"/>
      <c r="H91" s="112"/>
    </row>
    <row r="92">
      <c r="B92" s="110"/>
      <c r="C92" s="104"/>
      <c r="D92" s="105"/>
      <c r="E92" s="109"/>
      <c r="F92" s="108"/>
      <c r="G92" s="111"/>
      <c r="H92" s="112"/>
    </row>
    <row r="93">
      <c r="B93" s="110"/>
      <c r="C93" s="104"/>
      <c r="D93" s="105"/>
      <c r="E93" s="109"/>
      <c r="F93" s="108"/>
      <c r="G93" s="111"/>
      <c r="H93" s="112"/>
    </row>
    <row r="94">
      <c r="B94" s="110"/>
      <c r="C94" s="104"/>
      <c r="D94" s="105"/>
      <c r="E94" s="109"/>
      <c r="F94" s="108"/>
      <c r="G94" s="111"/>
      <c r="H94" s="112"/>
    </row>
    <row r="95">
      <c r="B95" s="110"/>
      <c r="C95" s="104"/>
      <c r="D95" s="105"/>
      <c r="E95" s="109"/>
      <c r="F95" s="108"/>
      <c r="G95" s="111"/>
      <c r="H95" s="112"/>
    </row>
    <row r="96">
      <c r="B96" s="110"/>
      <c r="C96" s="104"/>
      <c r="D96" s="105"/>
      <c r="E96" s="109"/>
      <c r="F96" s="108"/>
      <c r="G96" s="111"/>
      <c r="H96" s="112"/>
    </row>
    <row r="97">
      <c r="B97" s="110"/>
      <c r="C97" s="104"/>
      <c r="D97" s="105"/>
      <c r="E97" s="109"/>
      <c r="F97" s="108"/>
      <c r="G97" s="111"/>
      <c r="H97" s="112"/>
    </row>
    <row r="98">
      <c r="B98" s="110"/>
      <c r="C98" s="104"/>
      <c r="D98" s="105"/>
      <c r="E98" s="109"/>
      <c r="F98" s="108"/>
      <c r="G98" s="111"/>
      <c r="H98" s="112"/>
    </row>
    <row r="99">
      <c r="B99" s="110"/>
      <c r="C99" s="104"/>
      <c r="D99" s="105"/>
      <c r="E99" s="109"/>
      <c r="F99" s="108"/>
      <c r="G99" s="111"/>
      <c r="H99" s="112"/>
    </row>
    <row r="100">
      <c r="B100" s="110"/>
      <c r="C100" s="104"/>
      <c r="D100" s="105"/>
      <c r="E100" s="109"/>
      <c r="F100" s="108"/>
      <c r="G100" s="111"/>
      <c r="H100" s="112"/>
    </row>
    <row r="101">
      <c r="B101" s="110"/>
      <c r="C101" s="104"/>
      <c r="D101" s="105"/>
      <c r="E101" s="109"/>
      <c r="F101" s="108"/>
      <c r="G101" s="111"/>
      <c r="H101" s="112"/>
    </row>
    <row r="102">
      <c r="B102" s="110"/>
      <c r="C102" s="104"/>
      <c r="D102" s="105"/>
      <c r="E102" s="109"/>
      <c r="F102" s="108"/>
      <c r="G102" s="111"/>
      <c r="H102" s="112"/>
    </row>
    <row r="103">
      <c r="B103" s="110"/>
      <c r="C103" s="104"/>
      <c r="D103" s="105"/>
      <c r="E103" s="109"/>
      <c r="F103" s="108"/>
      <c r="G103" s="111"/>
      <c r="H103" s="112"/>
    </row>
    <row r="104">
      <c r="B104" s="110"/>
      <c r="C104" s="104"/>
      <c r="D104" s="105"/>
      <c r="E104" s="109"/>
      <c r="F104" s="108"/>
      <c r="G104" s="111"/>
      <c r="H104" s="112"/>
    </row>
    <row r="105">
      <c r="B105" s="110"/>
      <c r="C105" s="104"/>
      <c r="D105" s="105"/>
      <c r="E105" s="109"/>
      <c r="F105" s="108"/>
      <c r="G105" s="111"/>
      <c r="H105" s="112"/>
    </row>
    <row r="106">
      <c r="B106" s="110"/>
      <c r="C106" s="104"/>
      <c r="D106" s="105"/>
      <c r="E106" s="109"/>
      <c r="F106" s="108"/>
      <c r="G106" s="111"/>
      <c r="H106" s="112"/>
    </row>
    <row r="107">
      <c r="B107" s="110"/>
      <c r="C107" s="104"/>
      <c r="D107" s="105"/>
      <c r="E107" s="109"/>
      <c r="F107" s="108"/>
      <c r="G107" s="111"/>
      <c r="H107" s="112"/>
    </row>
    <row r="108">
      <c r="B108" s="110"/>
      <c r="C108" s="104"/>
      <c r="D108" s="105"/>
      <c r="E108" s="109"/>
      <c r="F108" s="108"/>
      <c r="G108" s="111"/>
      <c r="H108" s="112"/>
    </row>
    <row r="109">
      <c r="B109" s="110"/>
      <c r="C109" s="104"/>
      <c r="D109" s="105"/>
      <c r="E109" s="109"/>
      <c r="F109" s="108"/>
      <c r="G109" s="111"/>
      <c r="H109" s="112"/>
    </row>
    <row r="110">
      <c r="B110" s="110"/>
      <c r="C110" s="104"/>
      <c r="D110" s="105"/>
      <c r="E110" s="109"/>
      <c r="F110" s="108"/>
      <c r="G110" s="111"/>
      <c r="H110" s="112"/>
    </row>
    <row r="111">
      <c r="B111" s="110"/>
      <c r="C111" s="104"/>
      <c r="D111" s="105"/>
      <c r="E111" s="109"/>
      <c r="F111" s="108"/>
      <c r="G111" s="111"/>
      <c r="H111" s="112"/>
    </row>
    <row r="112">
      <c r="B112" s="110"/>
      <c r="C112" s="104"/>
      <c r="D112" s="105"/>
      <c r="E112" s="109"/>
      <c r="F112" s="108"/>
      <c r="G112" s="111"/>
      <c r="H112" s="112"/>
    </row>
    <row r="113">
      <c r="B113" s="110"/>
      <c r="C113" s="104"/>
      <c r="D113" s="105"/>
      <c r="E113" s="109"/>
      <c r="F113" s="108"/>
      <c r="G113" s="111"/>
      <c r="H113" s="112"/>
    </row>
    <row r="114">
      <c r="B114" s="110"/>
      <c r="C114" s="104"/>
      <c r="D114" s="105"/>
      <c r="E114" s="109"/>
      <c r="F114" s="108"/>
      <c r="G114" s="111"/>
      <c r="H114" s="112"/>
    </row>
    <row r="115">
      <c r="B115" s="110"/>
      <c r="C115" s="104"/>
      <c r="D115" s="105"/>
      <c r="E115" s="109"/>
      <c r="F115" s="108"/>
      <c r="G115" s="111"/>
      <c r="H115" s="112"/>
    </row>
    <row r="116">
      <c r="B116" s="110"/>
      <c r="C116" s="104"/>
      <c r="D116" s="105"/>
      <c r="E116" s="109"/>
      <c r="F116" s="108"/>
      <c r="G116" s="111"/>
      <c r="H116" s="112"/>
    </row>
    <row r="117">
      <c r="B117" s="110"/>
      <c r="C117" s="104"/>
      <c r="D117" s="105"/>
      <c r="E117" s="109"/>
      <c r="F117" s="108"/>
      <c r="G117" s="111"/>
      <c r="H117" s="112"/>
    </row>
    <row r="118">
      <c r="B118" s="110"/>
      <c r="C118" s="104"/>
      <c r="D118" s="105"/>
      <c r="E118" s="109"/>
      <c r="F118" s="108"/>
      <c r="G118" s="111"/>
      <c r="H118" s="112"/>
    </row>
    <row r="119">
      <c r="B119" s="110"/>
      <c r="C119" s="104"/>
      <c r="D119" s="105"/>
      <c r="E119" s="109"/>
      <c r="F119" s="108"/>
      <c r="G119" s="111"/>
      <c r="H119" s="112"/>
    </row>
    <row r="120">
      <c r="B120" s="110"/>
      <c r="C120" s="104"/>
      <c r="D120" s="105"/>
      <c r="E120" s="109"/>
      <c r="F120" s="108"/>
      <c r="G120" s="111"/>
      <c r="H120" s="112"/>
    </row>
    <row r="121">
      <c r="B121" s="110"/>
      <c r="C121" s="104"/>
      <c r="D121" s="105"/>
      <c r="E121" s="109"/>
      <c r="F121" s="108"/>
      <c r="G121" s="111"/>
      <c r="H121" s="112"/>
    </row>
    <row r="122">
      <c r="B122" s="110"/>
      <c r="C122" s="104"/>
      <c r="D122" s="105"/>
      <c r="E122" s="109"/>
      <c r="F122" s="108"/>
      <c r="G122" s="111"/>
      <c r="H122" s="112"/>
    </row>
    <row r="123">
      <c r="B123" s="110"/>
      <c r="C123" s="104"/>
      <c r="D123" s="105"/>
      <c r="E123" s="109"/>
      <c r="F123" s="108"/>
      <c r="G123" s="111"/>
      <c r="H123" s="112"/>
    </row>
    <row r="124">
      <c r="B124" s="110"/>
      <c r="C124" s="104"/>
      <c r="D124" s="105"/>
      <c r="E124" s="109"/>
      <c r="F124" s="108"/>
      <c r="G124" s="111"/>
      <c r="H124" s="112"/>
    </row>
    <row r="125">
      <c r="B125" s="110"/>
      <c r="C125" s="104"/>
      <c r="D125" s="105"/>
      <c r="E125" s="109"/>
      <c r="F125" s="108"/>
      <c r="G125" s="111"/>
      <c r="H125" s="112"/>
    </row>
    <row r="126">
      <c r="B126" s="110"/>
      <c r="C126" s="104"/>
      <c r="D126" s="105"/>
      <c r="E126" s="109"/>
      <c r="F126" s="108"/>
      <c r="G126" s="111"/>
      <c r="H126" s="112"/>
    </row>
    <row r="127">
      <c r="B127" s="110"/>
      <c r="C127" s="104"/>
      <c r="D127" s="105"/>
      <c r="E127" s="109"/>
      <c r="F127" s="108"/>
      <c r="G127" s="111"/>
      <c r="H127" s="112"/>
    </row>
    <row r="128">
      <c r="B128" s="110"/>
      <c r="C128" s="104"/>
      <c r="D128" s="105"/>
      <c r="E128" s="109"/>
      <c r="F128" s="108"/>
      <c r="G128" s="111"/>
      <c r="H128" s="112"/>
    </row>
    <row r="129">
      <c r="B129" s="110"/>
      <c r="C129" s="104"/>
      <c r="D129" s="105"/>
      <c r="E129" s="109"/>
      <c r="F129" s="108"/>
      <c r="G129" s="111"/>
      <c r="H129" s="112"/>
    </row>
    <row r="130">
      <c r="B130" s="110"/>
      <c r="C130" s="104"/>
      <c r="D130" s="105"/>
      <c r="E130" s="109"/>
      <c r="F130" s="108"/>
      <c r="G130" s="111"/>
      <c r="H130" s="112"/>
    </row>
    <row r="131">
      <c r="B131" s="110"/>
      <c r="C131" s="104"/>
      <c r="D131" s="105"/>
      <c r="E131" s="109"/>
      <c r="F131" s="108"/>
      <c r="G131" s="111"/>
      <c r="H131" s="112"/>
    </row>
    <row r="132">
      <c r="B132" s="110"/>
      <c r="C132" s="104"/>
      <c r="D132" s="105"/>
      <c r="E132" s="109"/>
      <c r="F132" s="108"/>
      <c r="G132" s="111"/>
      <c r="H132" s="112"/>
    </row>
    <row r="133">
      <c r="B133" s="110"/>
      <c r="C133" s="104"/>
      <c r="D133" s="105"/>
      <c r="E133" s="109"/>
      <c r="F133" s="108"/>
      <c r="G133" s="111"/>
      <c r="H133" s="112"/>
    </row>
    <row r="134">
      <c r="B134" s="110"/>
      <c r="C134" s="104"/>
      <c r="D134" s="105"/>
      <c r="E134" s="109"/>
      <c r="F134" s="108"/>
      <c r="G134" s="111"/>
      <c r="H134" s="112"/>
    </row>
    <row r="135">
      <c r="B135" s="110"/>
      <c r="C135" s="104"/>
      <c r="D135" s="105"/>
      <c r="E135" s="109"/>
      <c r="F135" s="108"/>
      <c r="G135" s="111"/>
      <c r="H135" s="112"/>
    </row>
    <row r="136">
      <c r="B136" s="110"/>
      <c r="C136" s="104"/>
      <c r="D136" s="105"/>
      <c r="E136" s="109"/>
      <c r="F136" s="108"/>
      <c r="G136" s="111"/>
      <c r="H136" s="112"/>
    </row>
    <row r="137">
      <c r="B137" s="110"/>
      <c r="C137" s="104"/>
      <c r="D137" s="105"/>
      <c r="E137" s="109"/>
      <c r="F137" s="108"/>
      <c r="G137" s="111"/>
      <c r="H137" s="112"/>
    </row>
    <row r="138">
      <c r="B138" s="110"/>
      <c r="C138" s="104"/>
      <c r="D138" s="105"/>
      <c r="E138" s="109"/>
      <c r="F138" s="108"/>
      <c r="G138" s="111"/>
      <c r="H138" s="112"/>
    </row>
    <row r="139">
      <c r="B139" s="110"/>
      <c r="C139" s="104"/>
      <c r="D139" s="105"/>
      <c r="E139" s="109"/>
      <c r="F139" s="108"/>
      <c r="G139" s="111"/>
      <c r="H139" s="112"/>
    </row>
    <row r="140">
      <c r="B140" s="110"/>
      <c r="C140" s="104"/>
      <c r="D140" s="105"/>
      <c r="E140" s="109"/>
      <c r="F140" s="108"/>
      <c r="G140" s="111"/>
      <c r="H140" s="112"/>
    </row>
    <row r="141">
      <c r="B141" s="110"/>
      <c r="C141" s="104"/>
      <c r="D141" s="105"/>
      <c r="E141" s="109"/>
      <c r="F141" s="108"/>
      <c r="G141" s="111"/>
      <c r="H141" s="112"/>
    </row>
    <row r="142">
      <c r="B142" s="110"/>
      <c r="C142" s="104"/>
      <c r="D142" s="105"/>
      <c r="E142" s="109"/>
      <c r="F142" s="108"/>
      <c r="G142" s="111"/>
      <c r="H142" s="112"/>
    </row>
    <row r="143">
      <c r="B143" s="110"/>
      <c r="C143" s="104"/>
      <c r="D143" s="105"/>
      <c r="E143" s="109"/>
      <c r="F143" s="108"/>
      <c r="G143" s="111"/>
      <c r="H143" s="112"/>
    </row>
    <row r="144">
      <c r="B144" s="110"/>
      <c r="C144" s="104"/>
      <c r="D144" s="105"/>
      <c r="E144" s="109"/>
      <c r="F144" s="108"/>
      <c r="G144" s="111"/>
      <c r="H144" s="112"/>
    </row>
    <row r="145">
      <c r="B145" s="110"/>
      <c r="C145" s="104"/>
      <c r="D145" s="105"/>
      <c r="E145" s="109"/>
      <c r="F145" s="108"/>
      <c r="G145" s="111"/>
      <c r="H145" s="112"/>
    </row>
    <row r="146">
      <c r="B146" s="110"/>
      <c r="C146" s="104"/>
      <c r="D146" s="105"/>
      <c r="E146" s="109"/>
      <c r="F146" s="108"/>
      <c r="G146" s="111"/>
      <c r="H146" s="112"/>
    </row>
    <row r="147">
      <c r="B147" s="110"/>
      <c r="C147" s="104"/>
      <c r="D147" s="105"/>
      <c r="E147" s="109"/>
      <c r="F147" s="108"/>
      <c r="G147" s="111"/>
      <c r="H147" s="112"/>
    </row>
    <row r="148">
      <c r="B148" s="110"/>
      <c r="C148" s="104"/>
      <c r="D148" s="105"/>
      <c r="E148" s="109"/>
      <c r="F148" s="108"/>
      <c r="G148" s="111"/>
      <c r="H148" s="112"/>
    </row>
    <row r="149">
      <c r="B149" s="110"/>
      <c r="C149" s="104"/>
      <c r="D149" s="105"/>
      <c r="E149" s="109"/>
      <c r="F149" s="108"/>
      <c r="G149" s="111"/>
      <c r="H149" s="112"/>
    </row>
    <row r="150">
      <c r="B150" s="110"/>
      <c r="C150" s="104"/>
      <c r="D150" s="105"/>
      <c r="E150" s="109"/>
      <c r="F150" s="108"/>
      <c r="G150" s="111"/>
      <c r="H150" s="112"/>
    </row>
    <row r="151">
      <c r="B151" s="110"/>
      <c r="C151" s="104"/>
      <c r="D151" s="105"/>
      <c r="E151" s="109"/>
      <c r="F151" s="108"/>
      <c r="G151" s="111"/>
      <c r="H151" s="112"/>
    </row>
    <row r="152">
      <c r="B152" s="110"/>
      <c r="C152" s="104"/>
      <c r="D152" s="105"/>
      <c r="E152" s="109"/>
      <c r="F152" s="108"/>
      <c r="G152" s="111"/>
      <c r="H152" s="112"/>
    </row>
    <row r="153">
      <c r="B153" s="110"/>
      <c r="C153" s="104"/>
      <c r="D153" s="105"/>
      <c r="E153" s="109"/>
      <c r="F153" s="108"/>
      <c r="G153" s="111"/>
      <c r="H153" s="112"/>
    </row>
    <row r="154">
      <c r="B154" s="110"/>
      <c r="C154" s="104"/>
      <c r="D154" s="105"/>
      <c r="E154" s="109"/>
      <c r="F154" s="108"/>
      <c r="G154" s="111"/>
      <c r="H154" s="112"/>
    </row>
    <row r="155">
      <c r="B155" s="110"/>
      <c r="C155" s="104"/>
      <c r="D155" s="105"/>
      <c r="E155" s="109"/>
      <c r="F155" s="108"/>
      <c r="G155" s="111"/>
      <c r="H155" s="112"/>
    </row>
    <row r="156">
      <c r="B156" s="110"/>
      <c r="C156" s="104"/>
      <c r="D156" s="105"/>
      <c r="E156" s="109"/>
      <c r="F156" s="108"/>
      <c r="G156" s="111"/>
      <c r="H156" s="112"/>
    </row>
    <row r="157">
      <c r="B157" s="110"/>
      <c r="C157" s="104"/>
      <c r="D157" s="105"/>
      <c r="E157" s="109"/>
      <c r="F157" s="108"/>
      <c r="G157" s="111"/>
      <c r="H157" s="112"/>
    </row>
    <row r="158">
      <c r="B158" s="110"/>
      <c r="C158" s="104"/>
      <c r="D158" s="105"/>
      <c r="E158" s="109"/>
      <c r="F158" s="108"/>
      <c r="G158" s="111"/>
      <c r="H158" s="112"/>
    </row>
    <row r="159">
      <c r="B159" s="110"/>
      <c r="C159" s="104"/>
      <c r="D159" s="105"/>
      <c r="E159" s="109"/>
      <c r="F159" s="108"/>
      <c r="G159" s="111"/>
      <c r="H159" s="112"/>
    </row>
    <row r="160">
      <c r="B160" s="110"/>
      <c r="C160" s="104"/>
      <c r="D160" s="105"/>
      <c r="E160" s="109"/>
      <c r="F160" s="108"/>
      <c r="G160" s="111"/>
      <c r="H160" s="112"/>
    </row>
    <row r="161">
      <c r="B161" s="110"/>
      <c r="C161" s="104"/>
      <c r="D161" s="105"/>
      <c r="E161" s="109"/>
      <c r="F161" s="108"/>
      <c r="G161" s="111"/>
      <c r="H161" s="112"/>
    </row>
    <row r="162">
      <c r="B162" s="110"/>
      <c r="C162" s="104"/>
      <c r="D162" s="105"/>
      <c r="E162" s="109"/>
      <c r="F162" s="108"/>
      <c r="G162" s="111"/>
      <c r="H162" s="112"/>
    </row>
    <row r="163">
      <c r="B163" s="110"/>
      <c r="C163" s="104"/>
      <c r="D163" s="105"/>
      <c r="E163" s="109"/>
      <c r="F163" s="108"/>
      <c r="G163" s="111"/>
      <c r="H163" s="112"/>
    </row>
    <row r="164">
      <c r="B164" s="110"/>
      <c r="C164" s="104"/>
      <c r="D164" s="105"/>
      <c r="E164" s="109"/>
      <c r="F164" s="108"/>
      <c r="G164" s="111"/>
      <c r="H164" s="112"/>
    </row>
    <row r="165">
      <c r="B165" s="110"/>
      <c r="C165" s="104"/>
      <c r="D165" s="105"/>
      <c r="E165" s="109"/>
      <c r="F165" s="108"/>
      <c r="G165" s="111"/>
      <c r="H165" s="112"/>
    </row>
    <row r="166">
      <c r="B166" s="110"/>
      <c r="C166" s="104"/>
      <c r="D166" s="105"/>
      <c r="E166" s="109"/>
      <c r="F166" s="108"/>
      <c r="G166" s="111"/>
      <c r="H166" s="112"/>
    </row>
    <row r="167">
      <c r="B167" s="110"/>
      <c r="C167" s="104"/>
      <c r="D167" s="105"/>
      <c r="E167" s="109"/>
      <c r="F167" s="108"/>
      <c r="G167" s="111"/>
      <c r="H167" s="112"/>
    </row>
    <row r="168">
      <c r="B168" s="110"/>
      <c r="C168" s="104"/>
      <c r="D168" s="105"/>
      <c r="E168" s="109"/>
      <c r="F168" s="108"/>
      <c r="G168" s="111"/>
      <c r="H168" s="112"/>
    </row>
    <row r="169">
      <c r="B169" s="110"/>
      <c r="C169" s="104"/>
      <c r="D169" s="105"/>
      <c r="E169" s="109"/>
      <c r="F169" s="108"/>
      <c r="G169" s="111"/>
      <c r="H169" s="112"/>
    </row>
    <row r="170">
      <c r="B170" s="110"/>
      <c r="C170" s="104"/>
      <c r="D170" s="105"/>
      <c r="E170" s="109"/>
      <c r="F170" s="108"/>
      <c r="G170" s="111"/>
      <c r="H170" s="112"/>
    </row>
    <row r="171">
      <c r="B171" s="110"/>
      <c r="C171" s="104"/>
      <c r="D171" s="105"/>
      <c r="E171" s="109"/>
      <c r="F171" s="108"/>
      <c r="G171" s="111"/>
      <c r="H171" s="112"/>
    </row>
    <row r="172">
      <c r="B172" s="110"/>
      <c r="C172" s="104"/>
      <c r="D172" s="105"/>
      <c r="E172" s="109"/>
      <c r="F172" s="108"/>
      <c r="G172" s="111"/>
      <c r="H172" s="112"/>
    </row>
    <row r="173">
      <c r="B173" s="110"/>
      <c r="C173" s="104"/>
      <c r="D173" s="105"/>
      <c r="E173" s="109"/>
      <c r="F173" s="108"/>
      <c r="G173" s="111"/>
      <c r="H173" s="112"/>
    </row>
    <row r="174">
      <c r="B174" s="110"/>
      <c r="C174" s="104"/>
      <c r="D174" s="105"/>
      <c r="E174" s="109"/>
      <c r="F174" s="108"/>
      <c r="G174" s="111"/>
      <c r="H174" s="112"/>
    </row>
    <row r="175">
      <c r="B175" s="110"/>
      <c r="C175" s="104"/>
      <c r="D175" s="105"/>
      <c r="E175" s="109"/>
      <c r="F175" s="108"/>
      <c r="G175" s="111"/>
      <c r="H175" s="112"/>
    </row>
    <row r="176">
      <c r="B176" s="110"/>
      <c r="C176" s="104"/>
      <c r="D176" s="105"/>
      <c r="E176" s="109"/>
      <c r="F176" s="108"/>
      <c r="G176" s="111"/>
      <c r="H176" s="112"/>
    </row>
    <row r="177">
      <c r="B177" s="110"/>
      <c r="C177" s="104"/>
      <c r="D177" s="105"/>
      <c r="E177" s="109"/>
      <c r="F177" s="108"/>
      <c r="G177" s="111"/>
      <c r="H177" s="112"/>
    </row>
    <row r="178">
      <c r="B178" s="110"/>
      <c r="C178" s="104"/>
      <c r="D178" s="105"/>
      <c r="E178" s="109"/>
      <c r="F178" s="108"/>
      <c r="G178" s="111"/>
      <c r="H178" s="112"/>
    </row>
    <row r="179">
      <c r="B179" s="110"/>
      <c r="C179" s="104"/>
      <c r="D179" s="105"/>
      <c r="E179" s="109"/>
      <c r="F179" s="108"/>
      <c r="G179" s="111"/>
      <c r="H179" s="112"/>
    </row>
    <row r="180">
      <c r="B180" s="110"/>
      <c r="C180" s="104"/>
      <c r="D180" s="105"/>
      <c r="E180" s="109"/>
      <c r="F180" s="108"/>
      <c r="G180" s="111"/>
      <c r="H180" s="112"/>
    </row>
    <row r="181">
      <c r="B181" s="110"/>
      <c r="C181" s="104"/>
      <c r="D181" s="105"/>
      <c r="E181" s="109"/>
      <c r="F181" s="108"/>
      <c r="G181" s="111"/>
      <c r="H181" s="112"/>
    </row>
    <row r="182">
      <c r="B182" s="110"/>
      <c r="C182" s="104"/>
      <c r="D182" s="105"/>
      <c r="E182" s="109"/>
      <c r="F182" s="108"/>
      <c r="G182" s="111"/>
      <c r="H182" s="112"/>
    </row>
    <row r="183">
      <c r="B183" s="110"/>
      <c r="C183" s="104"/>
      <c r="D183" s="105"/>
      <c r="E183" s="109"/>
      <c r="F183" s="108"/>
      <c r="G183" s="111"/>
      <c r="H183" s="112"/>
    </row>
    <row r="184">
      <c r="B184" s="110"/>
      <c r="C184" s="104"/>
      <c r="D184" s="105"/>
      <c r="E184" s="109"/>
      <c r="F184" s="108"/>
      <c r="G184" s="111"/>
      <c r="H184" s="112"/>
    </row>
    <row r="185">
      <c r="B185" s="110"/>
      <c r="C185" s="104"/>
      <c r="D185" s="105"/>
      <c r="E185" s="109"/>
      <c r="F185" s="108"/>
      <c r="G185" s="111"/>
      <c r="H185" s="112"/>
    </row>
    <row r="186">
      <c r="B186" s="110"/>
      <c r="C186" s="104"/>
      <c r="D186" s="105"/>
      <c r="E186" s="109"/>
      <c r="F186" s="108"/>
      <c r="G186" s="111"/>
      <c r="H186" s="112"/>
    </row>
    <row r="187">
      <c r="B187" s="110"/>
      <c r="C187" s="104"/>
      <c r="D187" s="105"/>
      <c r="E187" s="109"/>
      <c r="F187" s="108"/>
      <c r="G187" s="111"/>
      <c r="H187" s="112"/>
    </row>
    <row r="188">
      <c r="B188" s="110"/>
      <c r="C188" s="104"/>
      <c r="D188" s="105"/>
      <c r="E188" s="109"/>
      <c r="F188" s="108"/>
      <c r="G188" s="111"/>
      <c r="H188" s="112"/>
    </row>
    <row r="189">
      <c r="B189" s="110"/>
      <c r="C189" s="104"/>
      <c r="D189" s="105"/>
      <c r="E189" s="109"/>
      <c r="F189" s="108"/>
      <c r="G189" s="111"/>
      <c r="H189" s="112"/>
    </row>
    <row r="190">
      <c r="B190" s="110"/>
      <c r="C190" s="104"/>
      <c r="D190" s="105"/>
      <c r="E190" s="109"/>
      <c r="F190" s="108"/>
      <c r="G190" s="111"/>
      <c r="H190" s="112"/>
    </row>
    <row r="191">
      <c r="B191" s="110"/>
      <c r="C191" s="104"/>
      <c r="D191" s="105"/>
      <c r="E191" s="109"/>
      <c r="F191" s="108"/>
      <c r="G191" s="111"/>
      <c r="H191" s="112"/>
    </row>
    <row r="192">
      <c r="B192" s="110"/>
      <c r="C192" s="104"/>
      <c r="D192" s="105"/>
      <c r="E192" s="109"/>
      <c r="F192" s="108"/>
      <c r="G192" s="111"/>
      <c r="H192" s="112"/>
    </row>
    <row r="193">
      <c r="B193" s="110"/>
      <c r="C193" s="104"/>
      <c r="D193" s="105"/>
      <c r="E193" s="109"/>
      <c r="F193" s="108"/>
      <c r="G193" s="111"/>
      <c r="H193" s="112"/>
    </row>
    <row r="194">
      <c r="B194" s="110"/>
      <c r="C194" s="104"/>
      <c r="D194" s="105"/>
      <c r="E194" s="109"/>
      <c r="F194" s="108"/>
      <c r="G194" s="111"/>
      <c r="H194" s="112"/>
    </row>
    <row r="195">
      <c r="B195" s="110"/>
      <c r="C195" s="104"/>
      <c r="D195" s="105"/>
      <c r="E195" s="109"/>
      <c r="F195" s="108"/>
      <c r="G195" s="111"/>
      <c r="H195" s="112"/>
    </row>
    <row r="196">
      <c r="B196" s="110"/>
      <c r="C196" s="104"/>
      <c r="D196" s="105"/>
      <c r="E196" s="109"/>
      <c r="F196" s="108"/>
      <c r="G196" s="111"/>
      <c r="H196" s="112"/>
    </row>
    <row r="197">
      <c r="B197" s="110"/>
      <c r="C197" s="104"/>
      <c r="D197" s="105"/>
      <c r="E197" s="109"/>
      <c r="F197" s="108"/>
      <c r="G197" s="111"/>
      <c r="H197" s="112"/>
    </row>
    <row r="198">
      <c r="B198" s="110"/>
      <c r="C198" s="104"/>
      <c r="D198" s="105"/>
      <c r="E198" s="109"/>
      <c r="F198" s="108"/>
      <c r="G198" s="111"/>
      <c r="H198" s="112"/>
    </row>
    <row r="199">
      <c r="B199" s="110"/>
      <c r="C199" s="104"/>
      <c r="D199" s="105"/>
      <c r="E199" s="109"/>
      <c r="F199" s="108"/>
      <c r="G199" s="111"/>
      <c r="H199" s="112"/>
    </row>
    <row r="200">
      <c r="B200" s="110"/>
      <c r="C200" s="104"/>
      <c r="D200" s="105"/>
      <c r="E200" s="109"/>
      <c r="F200" s="108"/>
      <c r="G200" s="111"/>
      <c r="H200" s="112"/>
    </row>
    <row r="201">
      <c r="B201" s="110"/>
      <c r="C201" s="104"/>
      <c r="D201" s="105"/>
      <c r="E201" s="109"/>
      <c r="F201" s="108"/>
      <c r="G201" s="111"/>
      <c r="H201" s="112"/>
    </row>
    <row r="202">
      <c r="B202" s="110"/>
      <c r="C202" s="104"/>
      <c r="D202" s="105"/>
      <c r="E202" s="109"/>
      <c r="F202" s="108"/>
      <c r="G202" s="111"/>
      <c r="H202" s="112"/>
    </row>
    <row r="203">
      <c r="B203" s="110"/>
      <c r="C203" s="104"/>
      <c r="D203" s="105"/>
      <c r="E203" s="109"/>
      <c r="F203" s="108"/>
      <c r="G203" s="111"/>
      <c r="H203" s="112"/>
    </row>
    <row r="204">
      <c r="B204" s="110"/>
      <c r="C204" s="104"/>
      <c r="D204" s="105"/>
      <c r="E204" s="109"/>
      <c r="F204" s="108"/>
      <c r="G204" s="111"/>
      <c r="H204" s="112"/>
    </row>
    <row r="205">
      <c r="B205" s="110"/>
      <c r="C205" s="104"/>
      <c r="D205" s="105"/>
      <c r="E205" s="109"/>
      <c r="F205" s="108"/>
      <c r="G205" s="111"/>
      <c r="H205" s="112"/>
    </row>
    <row r="206">
      <c r="B206" s="110"/>
      <c r="C206" s="104"/>
      <c r="D206" s="105"/>
      <c r="E206" s="109"/>
      <c r="F206" s="108"/>
      <c r="G206" s="111"/>
      <c r="H206" s="112"/>
    </row>
    <row r="207">
      <c r="B207" s="110"/>
      <c r="C207" s="104"/>
      <c r="D207" s="105"/>
      <c r="E207" s="109"/>
      <c r="F207" s="108"/>
      <c r="G207" s="111"/>
      <c r="H207" s="112"/>
    </row>
    <row r="208">
      <c r="B208" s="110"/>
      <c r="C208" s="104"/>
      <c r="D208" s="105"/>
      <c r="E208" s="109"/>
      <c r="F208" s="108"/>
      <c r="G208" s="111"/>
      <c r="H208" s="112"/>
    </row>
    <row r="209">
      <c r="B209" s="110"/>
      <c r="C209" s="104"/>
      <c r="D209" s="105"/>
      <c r="E209" s="109"/>
      <c r="F209" s="108"/>
      <c r="G209" s="111"/>
      <c r="H209" s="112"/>
    </row>
    <row r="210">
      <c r="B210" s="110"/>
      <c r="C210" s="104"/>
      <c r="D210" s="105"/>
      <c r="E210" s="109"/>
      <c r="F210" s="108"/>
      <c r="G210" s="111"/>
      <c r="H210" s="112"/>
    </row>
    <row r="211">
      <c r="B211" s="110"/>
      <c r="C211" s="104"/>
      <c r="D211" s="105"/>
      <c r="E211" s="109"/>
      <c r="F211" s="108"/>
      <c r="G211" s="111"/>
      <c r="H211" s="112"/>
    </row>
    <row r="212">
      <c r="B212" s="110"/>
      <c r="C212" s="104"/>
      <c r="D212" s="105"/>
      <c r="E212" s="109"/>
      <c r="F212" s="108"/>
      <c r="G212" s="111"/>
      <c r="H212" s="112"/>
    </row>
    <row r="213">
      <c r="B213" s="110"/>
      <c r="C213" s="104"/>
      <c r="D213" s="105"/>
      <c r="E213" s="109"/>
      <c r="F213" s="108"/>
      <c r="G213" s="111"/>
      <c r="H213" s="112"/>
    </row>
    <row r="214">
      <c r="B214" s="110"/>
      <c r="C214" s="104"/>
      <c r="D214" s="105"/>
      <c r="E214" s="109"/>
      <c r="F214" s="108"/>
      <c r="G214" s="111"/>
      <c r="H214" s="112"/>
    </row>
    <row r="215">
      <c r="B215" s="110"/>
      <c r="C215" s="104"/>
      <c r="D215" s="105"/>
      <c r="E215" s="109"/>
      <c r="F215" s="108"/>
      <c r="G215" s="111"/>
      <c r="H215" s="112"/>
    </row>
    <row r="216">
      <c r="B216" s="110"/>
      <c r="C216" s="104"/>
      <c r="D216" s="105"/>
      <c r="E216" s="109"/>
      <c r="F216" s="108"/>
      <c r="G216" s="111"/>
      <c r="H216" s="112"/>
    </row>
    <row r="217">
      <c r="B217" s="110"/>
      <c r="C217" s="104"/>
      <c r="D217" s="105"/>
      <c r="E217" s="109"/>
      <c r="F217" s="108"/>
      <c r="G217" s="111"/>
      <c r="H217" s="112"/>
    </row>
    <row r="218">
      <c r="B218" s="110"/>
      <c r="C218" s="104"/>
      <c r="D218" s="105"/>
      <c r="E218" s="109"/>
      <c r="F218" s="108"/>
      <c r="G218" s="111"/>
      <c r="H218" s="112"/>
    </row>
    <row r="219">
      <c r="B219" s="110"/>
      <c r="C219" s="104"/>
      <c r="D219" s="105"/>
      <c r="E219" s="109"/>
      <c r="F219" s="108"/>
      <c r="G219" s="111"/>
      <c r="H219" s="112"/>
    </row>
    <row r="220">
      <c r="B220" s="110"/>
      <c r="C220" s="104"/>
      <c r="D220" s="105"/>
      <c r="E220" s="109"/>
      <c r="F220" s="108"/>
      <c r="G220" s="111"/>
      <c r="H220" s="112"/>
    </row>
    <row r="221">
      <c r="B221" s="110"/>
      <c r="C221" s="104"/>
      <c r="D221" s="105"/>
      <c r="E221" s="109"/>
      <c r="F221" s="108"/>
      <c r="G221" s="111"/>
      <c r="H221" s="112"/>
    </row>
    <row r="222">
      <c r="B222" s="110"/>
      <c r="C222" s="104"/>
      <c r="D222" s="105"/>
      <c r="E222" s="109"/>
      <c r="F222" s="108"/>
      <c r="G222" s="111"/>
      <c r="H222" s="112"/>
    </row>
    <row r="223">
      <c r="B223" s="110"/>
      <c r="C223" s="104"/>
      <c r="D223" s="105"/>
      <c r="E223" s="109"/>
      <c r="F223" s="108"/>
      <c r="G223" s="111"/>
      <c r="H223" s="112"/>
    </row>
    <row r="224">
      <c r="B224" s="110"/>
      <c r="C224" s="104"/>
      <c r="D224" s="105"/>
      <c r="E224" s="109"/>
      <c r="F224" s="108"/>
      <c r="G224" s="111"/>
      <c r="H224" s="112"/>
    </row>
    <row r="225">
      <c r="B225" s="110"/>
      <c r="C225" s="104"/>
      <c r="D225" s="105"/>
      <c r="E225" s="109"/>
      <c r="F225" s="108"/>
      <c r="G225" s="111"/>
      <c r="H225" s="112"/>
    </row>
    <row r="226">
      <c r="B226" s="110"/>
      <c r="C226" s="104"/>
      <c r="D226" s="105"/>
      <c r="E226" s="109"/>
      <c r="F226" s="108"/>
      <c r="G226" s="111"/>
      <c r="H226" s="112"/>
    </row>
    <row r="227">
      <c r="B227" s="110"/>
      <c r="C227" s="104"/>
      <c r="D227" s="105"/>
      <c r="E227" s="109"/>
      <c r="F227" s="108"/>
      <c r="G227" s="111"/>
      <c r="H227" s="112"/>
    </row>
    <row r="228">
      <c r="B228" s="110"/>
      <c r="C228" s="104"/>
      <c r="D228" s="105"/>
      <c r="E228" s="109"/>
      <c r="F228" s="108"/>
      <c r="G228" s="111"/>
      <c r="H228" s="112"/>
    </row>
    <row r="229">
      <c r="B229" s="110"/>
      <c r="C229" s="104"/>
      <c r="D229" s="105"/>
      <c r="E229" s="109"/>
      <c r="F229" s="108"/>
      <c r="G229" s="111"/>
      <c r="H229" s="112"/>
    </row>
    <row r="230">
      <c r="B230" s="110"/>
      <c r="C230" s="104"/>
      <c r="D230" s="105"/>
      <c r="E230" s="109"/>
      <c r="F230" s="108"/>
      <c r="G230" s="111"/>
      <c r="H230" s="112"/>
    </row>
    <row r="231">
      <c r="B231" s="110"/>
      <c r="C231" s="104"/>
      <c r="D231" s="105"/>
      <c r="E231" s="109"/>
      <c r="F231" s="108"/>
      <c r="G231" s="111"/>
      <c r="H231" s="112"/>
    </row>
    <row r="232">
      <c r="B232" s="110"/>
      <c r="C232" s="104"/>
      <c r="D232" s="105"/>
      <c r="E232" s="109"/>
      <c r="F232" s="108"/>
      <c r="G232" s="111"/>
      <c r="H232" s="112"/>
    </row>
    <row r="233">
      <c r="B233" s="110"/>
      <c r="C233" s="104"/>
      <c r="D233" s="105"/>
      <c r="E233" s="109"/>
      <c r="F233" s="108"/>
      <c r="G233" s="111"/>
      <c r="H233" s="112"/>
    </row>
    <row r="234">
      <c r="B234" s="110"/>
      <c r="C234" s="104"/>
      <c r="D234" s="105"/>
      <c r="E234" s="109"/>
      <c r="F234" s="108"/>
      <c r="G234" s="111"/>
      <c r="H234" s="112"/>
    </row>
    <row r="235">
      <c r="B235" s="110"/>
      <c r="C235" s="104"/>
      <c r="D235" s="105"/>
      <c r="E235" s="109"/>
      <c r="F235" s="108"/>
      <c r="G235" s="111"/>
      <c r="H235" s="112"/>
    </row>
    <row r="236">
      <c r="B236" s="110"/>
      <c r="C236" s="104"/>
      <c r="D236" s="105"/>
      <c r="E236" s="109"/>
      <c r="F236" s="108"/>
      <c r="G236" s="111"/>
      <c r="H236" s="112"/>
    </row>
    <row r="237">
      <c r="B237" s="110"/>
      <c r="C237" s="104"/>
      <c r="D237" s="105"/>
      <c r="E237" s="109"/>
      <c r="F237" s="108"/>
      <c r="G237" s="111"/>
      <c r="H237" s="112"/>
    </row>
    <row r="238">
      <c r="B238" s="110"/>
      <c r="C238" s="104"/>
      <c r="D238" s="105"/>
      <c r="E238" s="109"/>
      <c r="F238" s="108"/>
      <c r="G238" s="111"/>
      <c r="H238" s="112"/>
    </row>
    <row r="239">
      <c r="B239" s="110"/>
      <c r="C239" s="104"/>
      <c r="D239" s="105"/>
      <c r="E239" s="109"/>
      <c r="F239" s="108"/>
      <c r="G239" s="111"/>
      <c r="H239" s="112"/>
    </row>
    <row r="240">
      <c r="B240" s="110"/>
      <c r="C240" s="104"/>
      <c r="D240" s="105"/>
      <c r="E240" s="109"/>
      <c r="F240" s="108"/>
      <c r="G240" s="111"/>
      <c r="H240" s="112"/>
    </row>
    <row r="241">
      <c r="B241" s="110"/>
      <c r="C241" s="104"/>
      <c r="D241" s="105"/>
      <c r="E241" s="109"/>
      <c r="F241" s="108"/>
      <c r="G241" s="111"/>
      <c r="H241" s="112"/>
    </row>
    <row r="242">
      <c r="B242" s="110"/>
      <c r="C242" s="104"/>
      <c r="D242" s="105"/>
      <c r="E242" s="109"/>
      <c r="F242" s="108"/>
      <c r="G242" s="111"/>
      <c r="H242" s="112"/>
    </row>
    <row r="243">
      <c r="B243" s="110"/>
      <c r="C243" s="104"/>
      <c r="D243" s="105"/>
      <c r="E243" s="109"/>
      <c r="F243" s="108"/>
      <c r="G243" s="111"/>
      <c r="H243" s="112"/>
    </row>
    <row r="244">
      <c r="B244" s="110"/>
      <c r="C244" s="104"/>
      <c r="D244" s="105"/>
      <c r="E244" s="109"/>
      <c r="F244" s="108"/>
      <c r="G244" s="111"/>
      <c r="H244" s="112"/>
    </row>
    <row r="245">
      <c r="B245" s="110"/>
      <c r="C245" s="104"/>
      <c r="D245" s="105"/>
      <c r="E245" s="109"/>
      <c r="F245" s="108"/>
      <c r="G245" s="111"/>
      <c r="H245" s="112"/>
    </row>
    <row r="246">
      <c r="B246" s="110"/>
      <c r="C246" s="104"/>
      <c r="D246" s="105"/>
      <c r="E246" s="109"/>
      <c r="F246" s="108"/>
      <c r="G246" s="111"/>
      <c r="H246" s="112"/>
    </row>
    <row r="247">
      <c r="B247" s="110"/>
      <c r="C247" s="104"/>
      <c r="D247" s="105"/>
      <c r="E247" s="109"/>
      <c r="F247" s="108"/>
      <c r="G247" s="111"/>
      <c r="H247" s="112"/>
    </row>
    <row r="248">
      <c r="B248" s="110"/>
      <c r="C248" s="104"/>
      <c r="D248" s="105"/>
      <c r="E248" s="109"/>
      <c r="F248" s="108"/>
      <c r="G248" s="111"/>
      <c r="H248" s="112"/>
    </row>
    <row r="249">
      <c r="B249" s="110"/>
      <c r="C249" s="104"/>
      <c r="D249" s="105"/>
      <c r="E249" s="109"/>
      <c r="F249" s="108"/>
      <c r="G249" s="111"/>
      <c r="H249" s="112"/>
    </row>
    <row r="250">
      <c r="B250" s="110"/>
      <c r="C250" s="104"/>
      <c r="D250" s="105"/>
      <c r="E250" s="109"/>
      <c r="F250" s="108"/>
      <c r="G250" s="111"/>
      <c r="H250" s="112"/>
    </row>
    <row r="251">
      <c r="B251" s="110"/>
      <c r="C251" s="104"/>
      <c r="D251" s="105"/>
      <c r="E251" s="109"/>
      <c r="F251" s="108"/>
      <c r="G251" s="111"/>
      <c r="H251" s="112"/>
    </row>
    <row r="252">
      <c r="B252" s="110"/>
      <c r="C252" s="104"/>
      <c r="D252" s="105"/>
      <c r="E252" s="109"/>
      <c r="F252" s="108"/>
      <c r="G252" s="111"/>
      <c r="H252" s="112"/>
    </row>
    <row r="253">
      <c r="B253" s="110"/>
      <c r="C253" s="104"/>
      <c r="D253" s="105"/>
      <c r="E253" s="109"/>
      <c r="F253" s="108"/>
      <c r="G253" s="111"/>
      <c r="H253" s="112"/>
    </row>
    <row r="254">
      <c r="B254" s="110"/>
      <c r="C254" s="104"/>
      <c r="D254" s="105"/>
      <c r="E254" s="109"/>
      <c r="F254" s="108"/>
      <c r="G254" s="111"/>
      <c r="H254" s="112"/>
    </row>
    <row r="255">
      <c r="B255" s="110"/>
      <c r="C255" s="104"/>
      <c r="D255" s="105"/>
      <c r="E255" s="109"/>
      <c r="F255" s="108"/>
      <c r="G255" s="111"/>
      <c r="H255" s="112"/>
    </row>
    <row r="256">
      <c r="B256" s="110"/>
      <c r="C256" s="104"/>
      <c r="D256" s="105"/>
      <c r="E256" s="109"/>
      <c r="F256" s="108"/>
      <c r="G256" s="111"/>
      <c r="H256" s="112"/>
    </row>
    <row r="257">
      <c r="B257" s="110"/>
      <c r="C257" s="104"/>
      <c r="D257" s="105"/>
      <c r="E257" s="109"/>
      <c r="F257" s="108"/>
      <c r="G257" s="111"/>
      <c r="H257" s="112"/>
    </row>
    <row r="258">
      <c r="B258" s="110"/>
      <c r="C258" s="104"/>
      <c r="D258" s="105"/>
      <c r="E258" s="109"/>
      <c r="F258" s="108"/>
      <c r="G258" s="111"/>
      <c r="H258" s="112"/>
    </row>
    <row r="259">
      <c r="B259" s="110"/>
      <c r="C259" s="104"/>
      <c r="D259" s="105"/>
      <c r="E259" s="109"/>
      <c r="F259" s="108"/>
      <c r="G259" s="111"/>
      <c r="H259" s="112"/>
    </row>
    <row r="260">
      <c r="B260" s="110"/>
      <c r="C260" s="104"/>
      <c r="D260" s="105"/>
      <c r="E260" s="109"/>
      <c r="F260" s="108"/>
      <c r="G260" s="111"/>
      <c r="H260" s="112"/>
    </row>
    <row r="261">
      <c r="B261" s="110"/>
      <c r="C261" s="104"/>
      <c r="D261" s="105"/>
      <c r="E261" s="109"/>
      <c r="F261" s="108"/>
      <c r="G261" s="111"/>
      <c r="H261" s="112"/>
    </row>
    <row r="262">
      <c r="B262" s="110"/>
      <c r="C262" s="104"/>
      <c r="D262" s="105"/>
      <c r="E262" s="109"/>
      <c r="F262" s="108"/>
      <c r="G262" s="111"/>
      <c r="H262" s="112"/>
    </row>
    <row r="263">
      <c r="B263" s="110"/>
      <c r="C263" s="104"/>
      <c r="D263" s="105"/>
      <c r="E263" s="109"/>
      <c r="F263" s="108"/>
      <c r="G263" s="111"/>
      <c r="H263" s="112"/>
    </row>
    <row r="264">
      <c r="B264" s="110"/>
      <c r="C264" s="104"/>
      <c r="D264" s="105"/>
      <c r="E264" s="109"/>
      <c r="F264" s="108"/>
      <c r="G264" s="111"/>
      <c r="H264" s="112"/>
    </row>
    <row r="265">
      <c r="B265" s="110"/>
      <c r="C265" s="104"/>
      <c r="D265" s="105"/>
      <c r="E265" s="109"/>
      <c r="F265" s="108"/>
      <c r="G265" s="111"/>
      <c r="H265" s="112"/>
    </row>
    <row r="266">
      <c r="B266" s="110"/>
      <c r="C266" s="104"/>
      <c r="D266" s="105"/>
      <c r="E266" s="109"/>
      <c r="F266" s="108"/>
      <c r="G266" s="111"/>
      <c r="H266" s="112"/>
    </row>
    <row r="267">
      <c r="B267" s="110"/>
      <c r="C267" s="104"/>
      <c r="D267" s="105"/>
      <c r="E267" s="109"/>
      <c r="F267" s="108"/>
      <c r="G267" s="111"/>
      <c r="H267" s="112"/>
    </row>
    <row r="268">
      <c r="B268" s="110"/>
      <c r="C268" s="104"/>
      <c r="D268" s="105"/>
      <c r="E268" s="109"/>
      <c r="F268" s="108"/>
      <c r="G268" s="111"/>
      <c r="H268" s="112"/>
    </row>
    <row r="269">
      <c r="B269" s="110"/>
      <c r="C269" s="104"/>
      <c r="D269" s="105"/>
      <c r="E269" s="109"/>
      <c r="F269" s="108"/>
      <c r="G269" s="111"/>
      <c r="H269" s="112"/>
    </row>
    <row r="270">
      <c r="B270" s="110"/>
      <c r="C270" s="104"/>
      <c r="D270" s="105"/>
      <c r="E270" s="109"/>
      <c r="F270" s="108"/>
      <c r="G270" s="111"/>
      <c r="H270" s="112"/>
    </row>
    <row r="271">
      <c r="B271" s="110"/>
      <c r="C271" s="104"/>
      <c r="D271" s="105"/>
      <c r="E271" s="109"/>
      <c r="F271" s="108"/>
      <c r="G271" s="111"/>
      <c r="H271" s="112"/>
    </row>
    <row r="272">
      <c r="B272" s="110"/>
      <c r="C272" s="104"/>
      <c r="D272" s="105"/>
      <c r="E272" s="109"/>
      <c r="F272" s="108"/>
      <c r="G272" s="111"/>
      <c r="H272" s="112"/>
    </row>
    <row r="273">
      <c r="B273" s="110"/>
      <c r="C273" s="104"/>
      <c r="D273" s="105"/>
      <c r="E273" s="109"/>
      <c r="F273" s="108"/>
      <c r="G273" s="111"/>
      <c r="H273" s="112"/>
    </row>
    <row r="274">
      <c r="B274" s="110"/>
      <c r="C274" s="104"/>
      <c r="D274" s="105"/>
      <c r="E274" s="109"/>
      <c r="F274" s="108"/>
      <c r="G274" s="111"/>
      <c r="H274" s="112"/>
    </row>
    <row r="275">
      <c r="B275" s="110"/>
      <c r="C275" s="104"/>
      <c r="D275" s="105"/>
      <c r="E275" s="109"/>
      <c r="F275" s="108"/>
      <c r="G275" s="111"/>
      <c r="H275" s="112"/>
    </row>
    <row r="276">
      <c r="B276" s="110"/>
      <c r="C276" s="104"/>
      <c r="D276" s="105"/>
      <c r="E276" s="109"/>
      <c r="F276" s="108"/>
      <c r="G276" s="111"/>
      <c r="H276" s="112"/>
    </row>
    <row r="277">
      <c r="B277" s="110"/>
      <c r="C277" s="104"/>
      <c r="D277" s="105"/>
      <c r="E277" s="109"/>
      <c r="F277" s="108"/>
      <c r="G277" s="111"/>
      <c r="H277" s="112"/>
    </row>
    <row r="278">
      <c r="B278" s="110"/>
      <c r="C278" s="104"/>
      <c r="D278" s="105"/>
      <c r="E278" s="109"/>
      <c r="F278" s="108"/>
      <c r="G278" s="111"/>
      <c r="H278" s="112"/>
    </row>
    <row r="279">
      <c r="B279" s="110"/>
      <c r="C279" s="104"/>
      <c r="D279" s="105"/>
      <c r="E279" s="109"/>
      <c r="F279" s="108"/>
      <c r="G279" s="111"/>
      <c r="H279" s="112"/>
    </row>
    <row r="280">
      <c r="B280" s="110"/>
      <c r="C280" s="104"/>
      <c r="D280" s="105"/>
      <c r="E280" s="109"/>
      <c r="F280" s="108"/>
      <c r="G280" s="111"/>
      <c r="H280" s="112"/>
    </row>
    <row r="281">
      <c r="B281" s="110"/>
      <c r="C281" s="104"/>
      <c r="D281" s="105"/>
      <c r="E281" s="109"/>
      <c r="F281" s="108"/>
      <c r="G281" s="111"/>
      <c r="H281" s="112"/>
    </row>
    <row r="282">
      <c r="B282" s="110"/>
      <c r="C282" s="104"/>
      <c r="D282" s="105"/>
      <c r="E282" s="109"/>
      <c r="F282" s="108"/>
      <c r="G282" s="111"/>
      <c r="H282" s="112"/>
    </row>
    <row r="283">
      <c r="B283" s="110"/>
      <c r="C283" s="104"/>
      <c r="D283" s="105"/>
      <c r="E283" s="109"/>
      <c r="F283" s="108"/>
      <c r="G283" s="111"/>
      <c r="H283" s="112"/>
    </row>
    <row r="284">
      <c r="B284" s="110"/>
      <c r="C284" s="104"/>
      <c r="D284" s="105"/>
      <c r="E284" s="109"/>
      <c r="F284" s="108"/>
      <c r="G284" s="111"/>
      <c r="H284" s="112"/>
    </row>
    <row r="285">
      <c r="B285" s="110"/>
      <c r="C285" s="104"/>
      <c r="D285" s="105"/>
      <c r="E285" s="109"/>
      <c r="F285" s="108"/>
      <c r="G285" s="111"/>
      <c r="H285" s="112"/>
    </row>
    <row r="286">
      <c r="B286" s="110"/>
      <c r="C286" s="104"/>
      <c r="D286" s="105"/>
      <c r="E286" s="109"/>
      <c r="F286" s="108"/>
      <c r="G286" s="111"/>
      <c r="H286" s="112"/>
    </row>
    <row r="287">
      <c r="B287" s="110"/>
      <c r="C287" s="104"/>
      <c r="D287" s="105"/>
      <c r="E287" s="109"/>
      <c r="F287" s="108"/>
      <c r="G287" s="111"/>
      <c r="H287" s="112"/>
    </row>
    <row r="288">
      <c r="B288" s="110"/>
      <c r="C288" s="104"/>
      <c r="D288" s="105"/>
      <c r="E288" s="109"/>
      <c r="F288" s="108"/>
      <c r="G288" s="111"/>
      <c r="H288" s="112"/>
    </row>
    <row r="289">
      <c r="B289" s="110"/>
      <c r="C289" s="104"/>
      <c r="D289" s="105"/>
      <c r="E289" s="109"/>
      <c r="F289" s="108"/>
      <c r="G289" s="111"/>
      <c r="H289" s="112"/>
    </row>
    <row r="290">
      <c r="B290" s="110"/>
      <c r="C290" s="104"/>
      <c r="D290" s="105"/>
      <c r="E290" s="109"/>
      <c r="F290" s="108"/>
      <c r="G290" s="111"/>
      <c r="H290" s="112"/>
    </row>
    <row r="291">
      <c r="B291" s="110"/>
      <c r="C291" s="104"/>
      <c r="D291" s="105"/>
      <c r="E291" s="109"/>
      <c r="F291" s="108"/>
      <c r="G291" s="111"/>
      <c r="H291" s="112"/>
    </row>
    <row r="292">
      <c r="B292" s="110"/>
      <c r="C292" s="104"/>
      <c r="D292" s="105"/>
      <c r="E292" s="109"/>
      <c r="F292" s="108"/>
      <c r="G292" s="111"/>
      <c r="H292" s="112"/>
    </row>
    <row r="293">
      <c r="B293" s="110"/>
      <c r="C293" s="104"/>
      <c r="D293" s="105"/>
      <c r="E293" s="109"/>
      <c r="F293" s="108"/>
      <c r="G293" s="111"/>
      <c r="H293" s="112"/>
    </row>
    <row r="294">
      <c r="B294" s="110"/>
      <c r="C294" s="104"/>
      <c r="D294" s="105"/>
      <c r="E294" s="109"/>
      <c r="F294" s="108"/>
      <c r="G294" s="111"/>
      <c r="H294" s="112"/>
    </row>
    <row r="295">
      <c r="B295" s="110"/>
      <c r="C295" s="104"/>
      <c r="D295" s="105"/>
      <c r="E295" s="109"/>
      <c r="F295" s="108"/>
      <c r="G295" s="111"/>
      <c r="H295" s="112"/>
    </row>
    <row r="296">
      <c r="B296" s="110"/>
      <c r="C296" s="104"/>
      <c r="D296" s="105"/>
      <c r="E296" s="109"/>
      <c r="F296" s="108"/>
      <c r="G296" s="111"/>
      <c r="H296" s="112"/>
    </row>
    <row r="297">
      <c r="B297" s="110"/>
      <c r="C297" s="104"/>
      <c r="D297" s="105"/>
      <c r="E297" s="109"/>
      <c r="F297" s="108"/>
      <c r="G297" s="111"/>
      <c r="H297" s="112"/>
    </row>
    <row r="298">
      <c r="B298" s="110"/>
      <c r="C298" s="104"/>
      <c r="D298" s="105"/>
      <c r="E298" s="109"/>
      <c r="F298" s="108"/>
      <c r="G298" s="111"/>
      <c r="H298" s="112"/>
    </row>
    <row r="299">
      <c r="B299" s="110"/>
      <c r="C299" s="104"/>
      <c r="D299" s="105"/>
      <c r="E299" s="109"/>
      <c r="F299" s="108"/>
      <c r="G299" s="111"/>
      <c r="H299" s="112"/>
    </row>
    <row r="300">
      <c r="B300" s="110"/>
      <c r="C300" s="104"/>
      <c r="D300" s="105"/>
      <c r="E300" s="109"/>
      <c r="F300" s="108"/>
      <c r="G300" s="111"/>
      <c r="H300" s="112"/>
    </row>
    <row r="301">
      <c r="B301" s="110"/>
      <c r="C301" s="104"/>
      <c r="D301" s="105"/>
      <c r="E301" s="109"/>
      <c r="F301" s="108"/>
      <c r="G301" s="111"/>
      <c r="H301" s="112"/>
    </row>
    <row r="302">
      <c r="B302" s="110"/>
      <c r="C302" s="104"/>
      <c r="D302" s="105"/>
      <c r="E302" s="109"/>
      <c r="F302" s="108"/>
      <c r="G302" s="111"/>
      <c r="H302" s="112"/>
    </row>
    <row r="303">
      <c r="B303" s="110"/>
      <c r="C303" s="104"/>
      <c r="D303" s="105"/>
      <c r="E303" s="109"/>
      <c r="F303" s="108"/>
      <c r="G303" s="111"/>
      <c r="H303" s="112"/>
    </row>
    <row r="304">
      <c r="B304" s="110"/>
      <c r="C304" s="104"/>
      <c r="D304" s="105"/>
      <c r="E304" s="109"/>
      <c r="F304" s="108"/>
      <c r="G304" s="111"/>
      <c r="H304" s="112"/>
    </row>
    <row r="305">
      <c r="B305" s="110"/>
      <c r="C305" s="104"/>
      <c r="D305" s="105"/>
      <c r="E305" s="109"/>
      <c r="F305" s="108"/>
      <c r="G305" s="111"/>
      <c r="H305" s="112"/>
    </row>
    <row r="306">
      <c r="B306" s="110"/>
      <c r="C306" s="104"/>
      <c r="D306" s="105"/>
      <c r="E306" s="109"/>
      <c r="F306" s="108"/>
      <c r="G306" s="111"/>
      <c r="H306" s="112"/>
    </row>
    <row r="307">
      <c r="B307" s="110"/>
      <c r="C307" s="104"/>
      <c r="D307" s="105"/>
      <c r="E307" s="109"/>
      <c r="F307" s="108"/>
      <c r="G307" s="111"/>
      <c r="H307" s="112"/>
    </row>
    <row r="308">
      <c r="B308" s="110"/>
      <c r="C308" s="104"/>
      <c r="D308" s="105"/>
      <c r="E308" s="109"/>
      <c r="F308" s="108"/>
      <c r="G308" s="111"/>
      <c r="H308" s="112"/>
    </row>
    <row r="309">
      <c r="B309" s="110"/>
      <c r="C309" s="104"/>
      <c r="D309" s="105"/>
      <c r="E309" s="109"/>
      <c r="F309" s="108"/>
      <c r="G309" s="111"/>
      <c r="H309" s="112"/>
    </row>
    <row r="310">
      <c r="B310" s="110"/>
      <c r="C310" s="104"/>
      <c r="D310" s="105"/>
      <c r="E310" s="109"/>
      <c r="F310" s="108"/>
      <c r="G310" s="111"/>
      <c r="H310" s="112"/>
    </row>
    <row r="311">
      <c r="B311" s="110"/>
      <c r="C311" s="104"/>
      <c r="D311" s="105"/>
      <c r="E311" s="109"/>
      <c r="F311" s="108"/>
      <c r="G311" s="111"/>
      <c r="H311" s="112"/>
    </row>
    <row r="312">
      <c r="B312" s="110"/>
      <c r="C312" s="104"/>
      <c r="D312" s="105"/>
      <c r="E312" s="109"/>
      <c r="F312" s="108"/>
      <c r="G312" s="111"/>
      <c r="H312" s="112"/>
    </row>
    <row r="313">
      <c r="B313" s="110"/>
      <c r="C313" s="104"/>
      <c r="D313" s="105"/>
      <c r="E313" s="109"/>
      <c r="F313" s="108"/>
      <c r="G313" s="111"/>
      <c r="H313" s="112"/>
    </row>
    <row r="314">
      <c r="B314" s="110"/>
      <c r="C314" s="104"/>
      <c r="D314" s="105"/>
      <c r="E314" s="109"/>
      <c r="F314" s="108"/>
      <c r="G314" s="111"/>
      <c r="H314" s="112"/>
    </row>
    <row r="315">
      <c r="B315" s="110"/>
      <c r="C315" s="104"/>
      <c r="D315" s="105"/>
      <c r="E315" s="109"/>
      <c r="F315" s="108"/>
      <c r="G315" s="111"/>
      <c r="H315" s="112"/>
    </row>
    <row r="316">
      <c r="B316" s="110"/>
      <c r="C316" s="104"/>
      <c r="D316" s="105"/>
      <c r="E316" s="109"/>
      <c r="F316" s="108"/>
      <c r="G316" s="111"/>
      <c r="H316" s="112"/>
    </row>
    <row r="317">
      <c r="B317" s="110"/>
      <c r="C317" s="104"/>
      <c r="D317" s="105"/>
      <c r="E317" s="109"/>
      <c r="F317" s="108"/>
      <c r="G317" s="111"/>
      <c r="H317" s="112"/>
    </row>
    <row r="318">
      <c r="B318" s="110"/>
      <c r="C318" s="104"/>
      <c r="D318" s="105"/>
      <c r="E318" s="109"/>
      <c r="F318" s="108"/>
      <c r="G318" s="111"/>
      <c r="H318" s="112"/>
    </row>
    <row r="319">
      <c r="B319" s="110"/>
      <c r="C319" s="104"/>
      <c r="D319" s="105"/>
      <c r="E319" s="109"/>
      <c r="F319" s="108"/>
      <c r="G319" s="111"/>
      <c r="H319" s="112"/>
    </row>
    <row r="320">
      <c r="B320" s="110"/>
      <c r="C320" s="104"/>
      <c r="D320" s="105"/>
      <c r="E320" s="109"/>
      <c r="F320" s="108"/>
      <c r="G320" s="111"/>
      <c r="H320" s="112"/>
    </row>
    <row r="321">
      <c r="B321" s="110"/>
      <c r="C321" s="104"/>
      <c r="D321" s="105"/>
      <c r="E321" s="109"/>
      <c r="F321" s="108"/>
      <c r="G321" s="111"/>
      <c r="H321" s="112"/>
    </row>
    <row r="322">
      <c r="B322" s="110"/>
      <c r="C322" s="104"/>
      <c r="D322" s="105"/>
      <c r="E322" s="109"/>
      <c r="F322" s="108"/>
      <c r="G322" s="111"/>
      <c r="H322" s="112"/>
    </row>
    <row r="323">
      <c r="B323" s="110"/>
      <c r="C323" s="104"/>
      <c r="D323" s="105"/>
      <c r="E323" s="109"/>
      <c r="F323" s="108"/>
      <c r="G323" s="111"/>
      <c r="H323" s="112"/>
    </row>
    <row r="324">
      <c r="B324" s="110"/>
      <c r="C324" s="104"/>
      <c r="D324" s="105"/>
      <c r="E324" s="109"/>
      <c r="F324" s="108"/>
      <c r="G324" s="111"/>
      <c r="H324" s="112"/>
    </row>
    <row r="325">
      <c r="B325" s="110"/>
      <c r="C325" s="104"/>
      <c r="D325" s="105"/>
      <c r="E325" s="109"/>
      <c r="F325" s="108"/>
      <c r="G325" s="111"/>
      <c r="H325" s="112"/>
    </row>
    <row r="326">
      <c r="B326" s="110"/>
      <c r="C326" s="104"/>
      <c r="D326" s="105"/>
      <c r="E326" s="109"/>
      <c r="F326" s="108"/>
      <c r="G326" s="111"/>
      <c r="H326" s="112"/>
    </row>
    <row r="327">
      <c r="B327" s="110"/>
      <c r="C327" s="104"/>
      <c r="D327" s="105"/>
      <c r="E327" s="109"/>
      <c r="F327" s="108"/>
      <c r="G327" s="111"/>
      <c r="H327" s="112"/>
    </row>
    <row r="328">
      <c r="B328" s="110"/>
      <c r="C328" s="104"/>
      <c r="D328" s="105"/>
      <c r="E328" s="109"/>
      <c r="F328" s="108"/>
      <c r="G328" s="111"/>
      <c r="H328" s="112"/>
    </row>
    <row r="329">
      <c r="B329" s="110"/>
      <c r="C329" s="104"/>
      <c r="D329" s="105"/>
      <c r="E329" s="109"/>
      <c r="F329" s="108"/>
      <c r="G329" s="111"/>
      <c r="H329" s="112"/>
    </row>
    <row r="330">
      <c r="B330" s="110"/>
      <c r="C330" s="104"/>
      <c r="D330" s="105"/>
      <c r="E330" s="109"/>
      <c r="F330" s="108"/>
      <c r="G330" s="111"/>
      <c r="H330" s="112"/>
    </row>
    <row r="331">
      <c r="B331" s="110"/>
      <c r="C331" s="104"/>
      <c r="D331" s="105"/>
      <c r="E331" s="109"/>
      <c r="F331" s="108"/>
      <c r="G331" s="111"/>
      <c r="H331" s="112"/>
    </row>
    <row r="332">
      <c r="B332" s="110"/>
      <c r="C332" s="104"/>
      <c r="D332" s="105"/>
      <c r="E332" s="109"/>
      <c r="F332" s="108"/>
      <c r="G332" s="111"/>
      <c r="H332" s="112"/>
    </row>
    <row r="333">
      <c r="B333" s="110"/>
      <c r="C333" s="104"/>
      <c r="D333" s="105"/>
      <c r="E333" s="109"/>
      <c r="F333" s="108"/>
      <c r="G333" s="111"/>
      <c r="H333" s="112"/>
    </row>
    <row r="334">
      <c r="B334" s="110"/>
      <c r="C334" s="104"/>
      <c r="D334" s="105"/>
      <c r="E334" s="109"/>
      <c r="F334" s="108"/>
      <c r="G334" s="111"/>
      <c r="H334" s="112"/>
    </row>
    <row r="335">
      <c r="B335" s="110"/>
      <c r="C335" s="104"/>
      <c r="D335" s="105"/>
      <c r="E335" s="109"/>
      <c r="F335" s="108"/>
      <c r="G335" s="111"/>
      <c r="H335" s="112"/>
    </row>
    <row r="336">
      <c r="B336" s="110"/>
      <c r="C336" s="104"/>
      <c r="D336" s="105"/>
      <c r="E336" s="109"/>
      <c r="F336" s="108"/>
      <c r="G336" s="111"/>
      <c r="H336" s="112"/>
    </row>
    <row r="337">
      <c r="B337" s="110"/>
      <c r="C337" s="104"/>
      <c r="D337" s="105"/>
      <c r="E337" s="109"/>
      <c r="F337" s="108"/>
      <c r="G337" s="111"/>
      <c r="H337" s="112"/>
    </row>
    <row r="338">
      <c r="B338" s="110"/>
      <c r="C338" s="104"/>
      <c r="D338" s="105"/>
      <c r="E338" s="109"/>
      <c r="F338" s="108"/>
      <c r="G338" s="111"/>
      <c r="H338" s="112"/>
    </row>
    <row r="339">
      <c r="B339" s="110"/>
      <c r="C339" s="104"/>
      <c r="D339" s="105"/>
      <c r="E339" s="109"/>
      <c r="F339" s="108"/>
      <c r="G339" s="111"/>
      <c r="H339" s="112"/>
    </row>
    <row r="340">
      <c r="B340" s="110"/>
      <c r="C340" s="104"/>
      <c r="D340" s="105"/>
      <c r="E340" s="109"/>
      <c r="F340" s="108"/>
      <c r="G340" s="111"/>
      <c r="H340" s="112"/>
    </row>
    <row r="341">
      <c r="B341" s="110"/>
      <c r="C341" s="104"/>
      <c r="D341" s="105"/>
      <c r="E341" s="109"/>
      <c r="F341" s="108"/>
      <c r="G341" s="111"/>
      <c r="H341" s="112"/>
    </row>
    <row r="342">
      <c r="B342" s="110"/>
      <c r="C342" s="104"/>
      <c r="D342" s="105"/>
      <c r="E342" s="109"/>
      <c r="F342" s="108"/>
      <c r="G342" s="111"/>
      <c r="H342" s="112"/>
    </row>
    <row r="343">
      <c r="B343" s="110"/>
      <c r="C343" s="104"/>
      <c r="D343" s="105"/>
      <c r="E343" s="109"/>
      <c r="F343" s="108"/>
      <c r="G343" s="111"/>
      <c r="H343" s="112"/>
    </row>
    <row r="344">
      <c r="B344" s="110"/>
      <c r="C344" s="104"/>
      <c r="D344" s="105"/>
      <c r="E344" s="109"/>
      <c r="F344" s="108"/>
      <c r="G344" s="111"/>
      <c r="H344" s="112"/>
    </row>
    <row r="345">
      <c r="B345" s="110"/>
      <c r="C345" s="104"/>
      <c r="D345" s="105"/>
      <c r="E345" s="109"/>
      <c r="F345" s="108"/>
      <c r="G345" s="111"/>
      <c r="H345" s="112"/>
    </row>
    <row r="346">
      <c r="B346" s="110"/>
      <c r="C346" s="104"/>
      <c r="D346" s="105"/>
      <c r="E346" s="109"/>
      <c r="F346" s="108"/>
      <c r="G346" s="111"/>
      <c r="H346" s="112"/>
    </row>
    <row r="347">
      <c r="B347" s="110"/>
      <c r="C347" s="104"/>
      <c r="D347" s="105"/>
      <c r="E347" s="109"/>
      <c r="F347" s="108"/>
      <c r="G347" s="111"/>
      <c r="H347" s="112"/>
    </row>
    <row r="348">
      <c r="B348" s="110"/>
      <c r="C348" s="104"/>
      <c r="D348" s="105"/>
      <c r="E348" s="109"/>
      <c r="F348" s="108"/>
      <c r="G348" s="111"/>
      <c r="H348" s="112"/>
    </row>
    <row r="349">
      <c r="B349" s="110"/>
      <c r="C349" s="104"/>
      <c r="D349" s="105"/>
      <c r="E349" s="109"/>
      <c r="F349" s="108"/>
      <c r="G349" s="111"/>
      <c r="H349" s="112"/>
    </row>
    <row r="350">
      <c r="B350" s="110"/>
      <c r="C350" s="104"/>
      <c r="D350" s="105"/>
      <c r="E350" s="109"/>
      <c r="F350" s="108"/>
      <c r="G350" s="111"/>
      <c r="H350" s="112"/>
    </row>
    <row r="351">
      <c r="B351" s="110"/>
      <c r="C351" s="104"/>
      <c r="D351" s="105"/>
      <c r="E351" s="109"/>
      <c r="F351" s="108"/>
      <c r="G351" s="111"/>
      <c r="H351" s="112"/>
    </row>
    <row r="352">
      <c r="B352" s="110"/>
      <c r="C352" s="104"/>
      <c r="D352" s="105"/>
      <c r="E352" s="109"/>
      <c r="F352" s="108"/>
      <c r="G352" s="111"/>
      <c r="H352" s="112"/>
    </row>
    <row r="353">
      <c r="B353" s="110"/>
      <c r="C353" s="104"/>
      <c r="D353" s="105"/>
      <c r="E353" s="109"/>
      <c r="F353" s="108"/>
      <c r="G353" s="111"/>
      <c r="H353" s="112"/>
    </row>
    <row r="354">
      <c r="B354" s="110"/>
      <c r="C354" s="104"/>
      <c r="D354" s="105"/>
      <c r="E354" s="109"/>
      <c r="F354" s="108"/>
      <c r="G354" s="111"/>
      <c r="H354" s="112"/>
    </row>
    <row r="355">
      <c r="B355" s="110"/>
      <c r="C355" s="104"/>
      <c r="D355" s="105"/>
      <c r="E355" s="109"/>
      <c r="F355" s="108"/>
      <c r="G355" s="111"/>
      <c r="H355" s="112"/>
    </row>
    <row r="356">
      <c r="B356" s="110"/>
      <c r="C356" s="104"/>
      <c r="D356" s="105"/>
      <c r="E356" s="109"/>
      <c r="F356" s="108"/>
      <c r="G356" s="111"/>
      <c r="H356" s="112"/>
    </row>
    <row r="357">
      <c r="B357" s="110"/>
      <c r="C357" s="104"/>
      <c r="D357" s="105"/>
      <c r="E357" s="109"/>
      <c r="F357" s="108"/>
      <c r="G357" s="111"/>
      <c r="H357" s="112"/>
    </row>
    <row r="358">
      <c r="B358" s="110"/>
      <c r="C358" s="104"/>
      <c r="D358" s="105"/>
      <c r="E358" s="109"/>
      <c r="F358" s="108"/>
      <c r="G358" s="111"/>
      <c r="H358" s="112"/>
    </row>
    <row r="359">
      <c r="B359" s="110"/>
      <c r="C359" s="104"/>
      <c r="D359" s="105"/>
      <c r="E359" s="109"/>
      <c r="F359" s="108"/>
      <c r="G359" s="111"/>
      <c r="H359" s="112"/>
    </row>
    <row r="360">
      <c r="B360" s="110"/>
      <c r="C360" s="104"/>
      <c r="D360" s="105"/>
      <c r="E360" s="109"/>
      <c r="F360" s="108"/>
      <c r="G360" s="111"/>
      <c r="H360" s="112"/>
    </row>
    <row r="361">
      <c r="B361" s="110"/>
      <c r="C361" s="104"/>
      <c r="D361" s="105"/>
      <c r="E361" s="109"/>
      <c r="F361" s="108"/>
      <c r="G361" s="111"/>
      <c r="H361" s="112"/>
    </row>
    <row r="362">
      <c r="B362" s="110"/>
      <c r="C362" s="104"/>
      <c r="D362" s="105"/>
      <c r="E362" s="109"/>
      <c r="F362" s="108"/>
      <c r="G362" s="111"/>
      <c r="H362" s="112"/>
    </row>
    <row r="363">
      <c r="B363" s="110"/>
      <c r="C363" s="104"/>
      <c r="D363" s="105"/>
      <c r="E363" s="109"/>
      <c r="F363" s="108"/>
      <c r="G363" s="111"/>
      <c r="H363" s="112"/>
    </row>
    <row r="364">
      <c r="B364" s="110"/>
      <c r="C364" s="104"/>
      <c r="D364" s="105"/>
      <c r="E364" s="109"/>
      <c r="F364" s="108"/>
      <c r="G364" s="111"/>
      <c r="H364" s="112"/>
    </row>
    <row r="365">
      <c r="B365" s="110"/>
      <c r="C365" s="104"/>
      <c r="D365" s="105"/>
      <c r="E365" s="109"/>
      <c r="F365" s="108"/>
      <c r="G365" s="111"/>
      <c r="H365" s="112"/>
    </row>
    <row r="366">
      <c r="B366" s="110"/>
      <c r="C366" s="104"/>
      <c r="D366" s="105"/>
      <c r="E366" s="109"/>
      <c r="F366" s="108"/>
      <c r="G366" s="111"/>
      <c r="H366" s="112"/>
    </row>
    <row r="367">
      <c r="B367" s="110"/>
      <c r="C367" s="104"/>
      <c r="D367" s="105"/>
      <c r="E367" s="109"/>
      <c r="F367" s="108"/>
      <c r="G367" s="111"/>
      <c r="H367" s="112"/>
    </row>
    <row r="368">
      <c r="B368" s="110"/>
      <c r="C368" s="104"/>
      <c r="D368" s="105"/>
      <c r="E368" s="109"/>
      <c r="F368" s="108"/>
      <c r="G368" s="111"/>
      <c r="H368" s="112"/>
    </row>
    <row r="369">
      <c r="B369" s="110"/>
      <c r="C369" s="104"/>
      <c r="D369" s="105"/>
      <c r="E369" s="109"/>
      <c r="F369" s="108"/>
      <c r="G369" s="111"/>
      <c r="H369" s="112"/>
    </row>
    <row r="370">
      <c r="B370" s="110"/>
      <c r="C370" s="104"/>
      <c r="D370" s="105"/>
      <c r="E370" s="109"/>
      <c r="F370" s="108"/>
      <c r="G370" s="111"/>
      <c r="H370" s="112"/>
    </row>
    <row r="371">
      <c r="B371" s="110"/>
      <c r="C371" s="104"/>
      <c r="D371" s="105"/>
      <c r="E371" s="109"/>
      <c r="F371" s="108"/>
      <c r="G371" s="111"/>
      <c r="H371" s="112"/>
    </row>
    <row r="372">
      <c r="B372" s="110"/>
      <c r="C372" s="104"/>
      <c r="D372" s="105"/>
      <c r="E372" s="109"/>
      <c r="F372" s="108"/>
      <c r="G372" s="111"/>
      <c r="H372" s="112"/>
    </row>
    <row r="373">
      <c r="B373" s="110"/>
      <c r="C373" s="104"/>
      <c r="D373" s="105"/>
      <c r="E373" s="109"/>
      <c r="F373" s="108"/>
      <c r="G373" s="111"/>
      <c r="H373" s="112"/>
    </row>
    <row r="374">
      <c r="B374" s="110"/>
      <c r="C374" s="104"/>
      <c r="D374" s="105"/>
      <c r="E374" s="109"/>
      <c r="F374" s="108"/>
      <c r="G374" s="111"/>
      <c r="H374" s="112"/>
    </row>
    <row r="375">
      <c r="B375" s="110"/>
      <c r="C375" s="104"/>
      <c r="D375" s="105"/>
      <c r="E375" s="109"/>
      <c r="F375" s="108"/>
      <c r="G375" s="111"/>
      <c r="H375" s="112"/>
    </row>
    <row r="376">
      <c r="B376" s="110"/>
      <c r="C376" s="104"/>
      <c r="D376" s="105"/>
      <c r="E376" s="109"/>
      <c r="F376" s="108"/>
      <c r="G376" s="111"/>
      <c r="H376" s="112"/>
    </row>
    <row r="377">
      <c r="B377" s="110"/>
      <c r="C377" s="104"/>
      <c r="D377" s="105"/>
      <c r="E377" s="109"/>
      <c r="F377" s="108"/>
      <c r="G377" s="111"/>
      <c r="H377" s="112"/>
    </row>
    <row r="378">
      <c r="B378" s="110"/>
      <c r="C378" s="104"/>
      <c r="D378" s="105"/>
      <c r="E378" s="109"/>
      <c r="F378" s="108"/>
      <c r="G378" s="111"/>
      <c r="H378" s="112"/>
    </row>
    <row r="379">
      <c r="B379" s="110"/>
      <c r="C379" s="104"/>
      <c r="D379" s="105"/>
      <c r="E379" s="109"/>
      <c r="F379" s="108"/>
      <c r="G379" s="111"/>
      <c r="H379" s="112"/>
    </row>
    <row r="380">
      <c r="B380" s="110"/>
      <c r="C380" s="104"/>
      <c r="D380" s="105"/>
      <c r="E380" s="109"/>
      <c r="F380" s="108"/>
      <c r="G380" s="111"/>
      <c r="H380" s="112"/>
    </row>
    <row r="381">
      <c r="B381" s="110"/>
      <c r="C381" s="104"/>
      <c r="D381" s="105"/>
      <c r="E381" s="109"/>
      <c r="F381" s="108"/>
      <c r="G381" s="111"/>
      <c r="H381" s="112"/>
    </row>
    <row r="382">
      <c r="B382" s="110"/>
      <c r="C382" s="104"/>
      <c r="D382" s="105"/>
      <c r="E382" s="109"/>
      <c r="F382" s="108"/>
      <c r="G382" s="111"/>
      <c r="H382" s="112"/>
    </row>
    <row r="383">
      <c r="B383" s="110"/>
      <c r="C383" s="104"/>
      <c r="D383" s="105"/>
      <c r="E383" s="109"/>
      <c r="F383" s="108"/>
      <c r="G383" s="111"/>
      <c r="H383" s="112"/>
    </row>
    <row r="384">
      <c r="B384" s="110"/>
      <c r="C384" s="104"/>
      <c r="D384" s="105"/>
      <c r="E384" s="109"/>
      <c r="F384" s="108"/>
      <c r="G384" s="111"/>
      <c r="H384" s="112"/>
    </row>
    <row r="385">
      <c r="B385" s="110"/>
      <c r="C385" s="104"/>
      <c r="D385" s="105"/>
      <c r="E385" s="109"/>
      <c r="F385" s="108"/>
      <c r="G385" s="111"/>
      <c r="H385" s="112"/>
    </row>
    <row r="386">
      <c r="B386" s="110"/>
      <c r="C386" s="104"/>
      <c r="D386" s="105"/>
      <c r="E386" s="109"/>
      <c r="F386" s="108"/>
      <c r="G386" s="111"/>
      <c r="H386" s="112"/>
    </row>
    <row r="387">
      <c r="B387" s="110"/>
      <c r="C387" s="104"/>
      <c r="D387" s="105"/>
      <c r="E387" s="109"/>
      <c r="F387" s="108"/>
      <c r="G387" s="111"/>
      <c r="H387" s="112"/>
    </row>
    <row r="388">
      <c r="B388" s="110"/>
      <c r="C388" s="104"/>
      <c r="D388" s="105"/>
      <c r="E388" s="109"/>
      <c r="F388" s="108"/>
      <c r="G388" s="111"/>
      <c r="H388" s="112"/>
    </row>
    <row r="389">
      <c r="B389" s="110"/>
      <c r="C389" s="104"/>
      <c r="D389" s="105"/>
      <c r="E389" s="109"/>
      <c r="F389" s="108"/>
      <c r="G389" s="111"/>
      <c r="H389" s="112"/>
    </row>
    <row r="390">
      <c r="B390" s="110"/>
      <c r="C390" s="104"/>
      <c r="D390" s="105"/>
      <c r="E390" s="109"/>
      <c r="F390" s="108"/>
      <c r="G390" s="111"/>
      <c r="H390" s="112"/>
    </row>
    <row r="391">
      <c r="B391" s="110"/>
      <c r="C391" s="104"/>
      <c r="D391" s="105"/>
      <c r="E391" s="109"/>
      <c r="F391" s="108"/>
      <c r="G391" s="111"/>
      <c r="H391" s="112"/>
    </row>
    <row r="392">
      <c r="B392" s="110"/>
      <c r="C392" s="104"/>
      <c r="D392" s="105"/>
      <c r="E392" s="109"/>
      <c r="F392" s="108"/>
      <c r="G392" s="111"/>
      <c r="H392" s="112"/>
    </row>
    <row r="393">
      <c r="B393" s="110"/>
      <c r="C393" s="104"/>
      <c r="D393" s="105"/>
      <c r="E393" s="109"/>
      <c r="F393" s="108"/>
      <c r="G393" s="111"/>
      <c r="H393" s="112"/>
    </row>
    <row r="394">
      <c r="B394" s="110"/>
      <c r="C394" s="104"/>
      <c r="D394" s="105"/>
      <c r="E394" s="109"/>
      <c r="F394" s="108"/>
      <c r="G394" s="111"/>
      <c r="H394" s="112"/>
    </row>
    <row r="395">
      <c r="B395" s="110"/>
      <c r="C395" s="104"/>
      <c r="D395" s="105"/>
      <c r="E395" s="109"/>
      <c r="F395" s="108"/>
      <c r="G395" s="111"/>
      <c r="H395" s="112"/>
    </row>
    <row r="396">
      <c r="B396" s="110"/>
      <c r="C396" s="104"/>
      <c r="D396" s="105"/>
      <c r="E396" s="109"/>
      <c r="F396" s="108"/>
      <c r="G396" s="111"/>
      <c r="H396" s="112"/>
    </row>
    <row r="397">
      <c r="B397" s="110"/>
      <c r="C397" s="104"/>
      <c r="D397" s="105"/>
      <c r="E397" s="109"/>
      <c r="F397" s="108"/>
      <c r="G397" s="111"/>
      <c r="H397" s="112"/>
    </row>
    <row r="398">
      <c r="B398" s="110"/>
      <c r="C398" s="104"/>
      <c r="D398" s="105"/>
      <c r="E398" s="109"/>
      <c r="F398" s="108"/>
      <c r="G398" s="111"/>
      <c r="H398" s="112"/>
    </row>
    <row r="399">
      <c r="B399" s="110"/>
      <c r="C399" s="104"/>
      <c r="D399" s="105"/>
      <c r="E399" s="109"/>
      <c r="F399" s="108"/>
      <c r="G399" s="111"/>
      <c r="H399" s="112"/>
    </row>
    <row r="400">
      <c r="B400" s="110"/>
      <c r="C400" s="104"/>
      <c r="D400" s="105"/>
      <c r="E400" s="109"/>
      <c r="F400" s="108"/>
      <c r="G400" s="111"/>
      <c r="H400" s="112"/>
    </row>
    <row r="401">
      <c r="B401" s="110"/>
      <c r="C401" s="104"/>
      <c r="D401" s="105"/>
      <c r="E401" s="109"/>
      <c r="F401" s="108"/>
      <c r="G401" s="111"/>
      <c r="H401" s="112"/>
    </row>
    <row r="402">
      <c r="B402" s="110"/>
      <c r="C402" s="104"/>
      <c r="D402" s="105"/>
      <c r="E402" s="109"/>
      <c r="F402" s="108"/>
      <c r="G402" s="111"/>
      <c r="H402" s="112"/>
    </row>
    <row r="403">
      <c r="B403" s="110"/>
      <c r="C403" s="104"/>
      <c r="D403" s="105"/>
      <c r="E403" s="109"/>
      <c r="F403" s="108"/>
      <c r="G403" s="111"/>
      <c r="H403" s="112"/>
    </row>
    <row r="404">
      <c r="B404" s="110"/>
      <c r="C404" s="104"/>
      <c r="D404" s="105"/>
      <c r="E404" s="109"/>
      <c r="F404" s="108"/>
      <c r="G404" s="111"/>
      <c r="H404" s="112"/>
    </row>
    <row r="405">
      <c r="B405" s="110"/>
      <c r="C405" s="104"/>
      <c r="D405" s="105"/>
      <c r="E405" s="109"/>
      <c r="F405" s="108"/>
      <c r="G405" s="111"/>
      <c r="H405" s="112"/>
    </row>
    <row r="406">
      <c r="B406" s="110"/>
      <c r="C406" s="104"/>
      <c r="D406" s="105"/>
      <c r="E406" s="109"/>
      <c r="F406" s="108"/>
      <c r="G406" s="111"/>
      <c r="H406" s="112"/>
    </row>
    <row r="407">
      <c r="B407" s="110"/>
      <c r="C407" s="104"/>
      <c r="D407" s="105"/>
      <c r="E407" s="109"/>
      <c r="F407" s="108"/>
      <c r="G407" s="111"/>
      <c r="H407" s="112"/>
    </row>
    <row r="408">
      <c r="B408" s="110"/>
      <c r="C408" s="104"/>
      <c r="D408" s="105"/>
      <c r="E408" s="109"/>
      <c r="F408" s="108"/>
      <c r="G408" s="111"/>
      <c r="H408" s="112"/>
    </row>
    <row r="409">
      <c r="B409" s="110"/>
      <c r="C409" s="104"/>
      <c r="D409" s="105"/>
      <c r="E409" s="109"/>
      <c r="F409" s="108"/>
      <c r="G409" s="111"/>
      <c r="H409" s="112"/>
    </row>
    <row r="410">
      <c r="B410" s="110"/>
      <c r="C410" s="104"/>
      <c r="D410" s="105"/>
      <c r="E410" s="109"/>
      <c r="F410" s="108"/>
      <c r="G410" s="111"/>
      <c r="H410" s="112"/>
    </row>
    <row r="411">
      <c r="B411" s="110"/>
      <c r="C411" s="104"/>
      <c r="D411" s="105"/>
      <c r="E411" s="109"/>
      <c r="F411" s="108"/>
      <c r="G411" s="111"/>
      <c r="H411" s="112"/>
    </row>
    <row r="412">
      <c r="B412" s="110"/>
      <c r="C412" s="104"/>
      <c r="D412" s="105"/>
      <c r="E412" s="109"/>
      <c r="F412" s="108"/>
      <c r="G412" s="111"/>
      <c r="H412" s="112"/>
    </row>
    <row r="413">
      <c r="B413" s="110"/>
      <c r="C413" s="104"/>
      <c r="D413" s="105"/>
      <c r="E413" s="109"/>
      <c r="F413" s="108"/>
      <c r="G413" s="111"/>
      <c r="H413" s="112"/>
    </row>
    <row r="414">
      <c r="B414" s="110"/>
      <c r="C414" s="104"/>
      <c r="D414" s="105"/>
      <c r="E414" s="109"/>
      <c r="F414" s="108"/>
      <c r="G414" s="111"/>
      <c r="H414" s="112"/>
    </row>
    <row r="415">
      <c r="B415" s="110"/>
      <c r="C415" s="104"/>
      <c r="D415" s="105"/>
      <c r="E415" s="109"/>
      <c r="F415" s="108"/>
      <c r="G415" s="111"/>
      <c r="H415" s="112"/>
    </row>
    <row r="416">
      <c r="B416" s="110"/>
      <c r="C416" s="104"/>
      <c r="D416" s="105"/>
      <c r="E416" s="109"/>
      <c r="F416" s="108"/>
      <c r="G416" s="111"/>
      <c r="H416" s="112"/>
    </row>
    <row r="417">
      <c r="B417" s="110"/>
      <c r="C417" s="104"/>
      <c r="D417" s="105"/>
      <c r="E417" s="109"/>
      <c r="F417" s="108"/>
      <c r="G417" s="111"/>
      <c r="H417" s="112"/>
    </row>
    <row r="418">
      <c r="B418" s="110"/>
      <c r="C418" s="104"/>
      <c r="D418" s="105"/>
      <c r="E418" s="109"/>
      <c r="F418" s="108"/>
      <c r="G418" s="111"/>
      <c r="H418" s="112"/>
    </row>
    <row r="419">
      <c r="B419" s="110"/>
      <c r="C419" s="104"/>
      <c r="D419" s="105"/>
      <c r="E419" s="109"/>
      <c r="F419" s="108"/>
      <c r="G419" s="111"/>
      <c r="H419" s="112"/>
    </row>
    <row r="420">
      <c r="B420" s="110"/>
      <c r="C420" s="104"/>
      <c r="D420" s="105"/>
      <c r="E420" s="109"/>
      <c r="F420" s="108"/>
      <c r="G420" s="111"/>
      <c r="H420" s="112"/>
    </row>
    <row r="421">
      <c r="B421" s="110"/>
      <c r="C421" s="104"/>
      <c r="D421" s="105"/>
      <c r="E421" s="109"/>
      <c r="F421" s="108"/>
      <c r="G421" s="111"/>
      <c r="H421" s="112"/>
    </row>
    <row r="422">
      <c r="B422" s="110"/>
      <c r="C422" s="104"/>
      <c r="D422" s="105"/>
      <c r="E422" s="109"/>
      <c r="F422" s="108"/>
      <c r="G422" s="111"/>
      <c r="H422" s="112"/>
    </row>
    <row r="423">
      <c r="B423" s="110"/>
      <c r="C423" s="104"/>
      <c r="D423" s="105"/>
      <c r="E423" s="109"/>
      <c r="F423" s="108"/>
      <c r="G423" s="111"/>
      <c r="H423" s="112"/>
    </row>
    <row r="424">
      <c r="B424" s="110"/>
      <c r="C424" s="104"/>
      <c r="D424" s="105"/>
      <c r="E424" s="109"/>
      <c r="F424" s="108"/>
      <c r="G424" s="111"/>
      <c r="H424" s="112"/>
    </row>
    <row r="425">
      <c r="B425" s="110"/>
      <c r="C425" s="104"/>
      <c r="D425" s="105"/>
      <c r="E425" s="109"/>
      <c r="F425" s="108"/>
      <c r="G425" s="111"/>
      <c r="H425" s="112"/>
    </row>
    <row r="426">
      <c r="B426" s="110"/>
      <c r="C426" s="104"/>
      <c r="D426" s="105"/>
      <c r="E426" s="109"/>
      <c r="F426" s="108"/>
      <c r="G426" s="111"/>
      <c r="H426" s="112"/>
    </row>
    <row r="427">
      <c r="B427" s="110"/>
      <c r="C427" s="104"/>
      <c r="D427" s="105"/>
      <c r="E427" s="109"/>
      <c r="F427" s="108"/>
      <c r="G427" s="111"/>
      <c r="H427" s="112"/>
    </row>
    <row r="428">
      <c r="B428" s="110"/>
      <c r="C428" s="104"/>
      <c r="D428" s="105"/>
      <c r="E428" s="109"/>
      <c r="F428" s="108"/>
      <c r="G428" s="111"/>
      <c r="H428" s="112"/>
    </row>
    <row r="429">
      <c r="B429" s="110"/>
      <c r="C429" s="104"/>
      <c r="D429" s="105"/>
      <c r="E429" s="109"/>
      <c r="F429" s="108"/>
      <c r="G429" s="111"/>
      <c r="H429" s="112"/>
    </row>
    <row r="430">
      <c r="B430" s="110"/>
      <c r="C430" s="104"/>
      <c r="D430" s="105"/>
      <c r="E430" s="109"/>
      <c r="F430" s="108"/>
      <c r="G430" s="111"/>
      <c r="H430" s="112"/>
    </row>
    <row r="431">
      <c r="B431" s="110"/>
      <c r="C431" s="104"/>
      <c r="D431" s="105"/>
      <c r="E431" s="109"/>
      <c r="F431" s="108"/>
      <c r="G431" s="111"/>
      <c r="H431" s="112"/>
    </row>
    <row r="432">
      <c r="B432" s="110"/>
      <c r="C432" s="104"/>
      <c r="D432" s="105"/>
      <c r="E432" s="109"/>
      <c r="F432" s="108"/>
      <c r="G432" s="111"/>
      <c r="H432" s="112"/>
    </row>
    <row r="433">
      <c r="B433" s="110"/>
      <c r="C433" s="104"/>
      <c r="D433" s="105"/>
      <c r="E433" s="109"/>
      <c r="F433" s="108"/>
      <c r="G433" s="111"/>
      <c r="H433" s="112"/>
    </row>
    <row r="434">
      <c r="B434" s="110"/>
      <c r="C434" s="104"/>
      <c r="D434" s="105"/>
      <c r="E434" s="109"/>
      <c r="F434" s="108"/>
      <c r="G434" s="111"/>
      <c r="H434" s="112"/>
    </row>
    <row r="435">
      <c r="B435" s="110"/>
      <c r="C435" s="104"/>
      <c r="D435" s="105"/>
      <c r="E435" s="109"/>
      <c r="F435" s="108"/>
      <c r="G435" s="111"/>
      <c r="H435" s="112"/>
    </row>
    <row r="436">
      <c r="B436" s="110"/>
      <c r="C436" s="104"/>
      <c r="D436" s="105"/>
      <c r="E436" s="109"/>
      <c r="F436" s="108"/>
      <c r="G436" s="111"/>
      <c r="H436" s="112"/>
    </row>
    <row r="437">
      <c r="B437" s="110"/>
      <c r="C437" s="104"/>
      <c r="D437" s="105"/>
      <c r="E437" s="109"/>
      <c r="F437" s="108"/>
      <c r="G437" s="111"/>
      <c r="H437" s="112"/>
    </row>
    <row r="438">
      <c r="B438" s="110"/>
      <c r="C438" s="104"/>
      <c r="D438" s="105"/>
      <c r="E438" s="109"/>
      <c r="F438" s="108"/>
      <c r="G438" s="111"/>
      <c r="H438" s="112"/>
    </row>
    <row r="439">
      <c r="B439" s="110"/>
      <c r="C439" s="104"/>
      <c r="D439" s="105"/>
      <c r="E439" s="109"/>
      <c r="F439" s="108"/>
      <c r="G439" s="111"/>
      <c r="H439" s="112"/>
    </row>
    <row r="440">
      <c r="B440" s="110"/>
      <c r="C440" s="104"/>
      <c r="D440" s="105"/>
      <c r="E440" s="109"/>
      <c r="F440" s="108"/>
      <c r="G440" s="111"/>
      <c r="H440" s="112"/>
    </row>
    <row r="441">
      <c r="B441" s="110"/>
      <c r="C441" s="104"/>
      <c r="D441" s="105"/>
      <c r="E441" s="109"/>
      <c r="F441" s="108"/>
      <c r="G441" s="111"/>
      <c r="H441" s="112"/>
    </row>
    <row r="442">
      <c r="B442" s="110"/>
      <c r="C442" s="104"/>
      <c r="D442" s="105"/>
      <c r="E442" s="109"/>
      <c r="F442" s="108"/>
      <c r="G442" s="111"/>
      <c r="H442" s="112"/>
    </row>
    <row r="443">
      <c r="B443" s="110"/>
      <c r="C443" s="104"/>
      <c r="D443" s="105"/>
      <c r="E443" s="109"/>
      <c r="F443" s="108"/>
      <c r="G443" s="111"/>
      <c r="H443" s="112"/>
    </row>
    <row r="444">
      <c r="B444" s="110"/>
      <c r="C444" s="104"/>
      <c r="D444" s="105"/>
      <c r="E444" s="109"/>
      <c r="F444" s="108"/>
      <c r="G444" s="111"/>
      <c r="H444" s="112"/>
    </row>
    <row r="445">
      <c r="B445" s="110"/>
      <c r="C445" s="104"/>
      <c r="D445" s="105"/>
      <c r="E445" s="109"/>
      <c r="F445" s="108"/>
      <c r="G445" s="111"/>
      <c r="H445" s="112"/>
    </row>
    <row r="446">
      <c r="B446" s="110"/>
      <c r="C446" s="104"/>
      <c r="D446" s="105"/>
      <c r="E446" s="109"/>
      <c r="F446" s="108"/>
      <c r="G446" s="111"/>
      <c r="H446" s="112"/>
    </row>
    <row r="447">
      <c r="B447" s="110"/>
      <c r="C447" s="104"/>
      <c r="D447" s="105"/>
      <c r="E447" s="109"/>
      <c r="F447" s="108"/>
      <c r="G447" s="111"/>
      <c r="H447" s="112"/>
    </row>
    <row r="448">
      <c r="B448" s="110"/>
      <c r="C448" s="104"/>
      <c r="D448" s="105"/>
      <c r="E448" s="109"/>
      <c r="F448" s="108"/>
      <c r="G448" s="111"/>
      <c r="H448" s="112"/>
    </row>
    <row r="449">
      <c r="B449" s="110"/>
      <c r="C449" s="104"/>
      <c r="D449" s="105"/>
      <c r="E449" s="109"/>
      <c r="F449" s="108"/>
      <c r="G449" s="111"/>
      <c r="H449" s="112"/>
    </row>
    <row r="450">
      <c r="B450" s="110"/>
      <c r="C450" s="104"/>
      <c r="D450" s="105"/>
      <c r="E450" s="109"/>
      <c r="F450" s="108"/>
      <c r="G450" s="111"/>
      <c r="H450" s="112"/>
    </row>
    <row r="451">
      <c r="B451" s="110"/>
      <c r="C451" s="104"/>
      <c r="D451" s="105"/>
      <c r="E451" s="109"/>
      <c r="F451" s="108"/>
      <c r="G451" s="111"/>
      <c r="H451" s="112"/>
    </row>
    <row r="452">
      <c r="B452" s="110"/>
      <c r="C452" s="104"/>
      <c r="D452" s="105"/>
      <c r="E452" s="109"/>
      <c r="F452" s="108"/>
      <c r="G452" s="111"/>
      <c r="H452" s="112"/>
    </row>
    <row r="453">
      <c r="B453" s="110"/>
      <c r="C453" s="104"/>
      <c r="D453" s="105"/>
      <c r="E453" s="109"/>
      <c r="F453" s="108"/>
      <c r="G453" s="111"/>
      <c r="H453" s="112"/>
    </row>
    <row r="454">
      <c r="B454" s="110"/>
      <c r="C454" s="104"/>
      <c r="D454" s="105"/>
      <c r="E454" s="109"/>
      <c r="F454" s="108"/>
      <c r="G454" s="111"/>
      <c r="H454" s="112"/>
    </row>
    <row r="455">
      <c r="B455" s="110"/>
      <c r="C455" s="104"/>
      <c r="D455" s="105"/>
      <c r="E455" s="109"/>
      <c r="F455" s="108"/>
      <c r="G455" s="111"/>
      <c r="H455" s="112"/>
    </row>
    <row r="456">
      <c r="B456" s="110"/>
      <c r="C456" s="104"/>
      <c r="D456" s="105"/>
      <c r="E456" s="109"/>
      <c r="F456" s="108"/>
      <c r="G456" s="111"/>
      <c r="H456" s="112"/>
    </row>
    <row r="457">
      <c r="B457" s="110"/>
      <c r="C457" s="104"/>
      <c r="D457" s="105"/>
      <c r="E457" s="109"/>
      <c r="F457" s="108"/>
      <c r="G457" s="111"/>
      <c r="H457" s="112"/>
    </row>
    <row r="458">
      <c r="B458" s="110"/>
      <c r="C458" s="104"/>
      <c r="D458" s="105"/>
      <c r="E458" s="109"/>
      <c r="F458" s="108"/>
      <c r="G458" s="111"/>
      <c r="H458" s="112"/>
    </row>
    <row r="459">
      <c r="B459" s="110"/>
      <c r="C459" s="104"/>
      <c r="D459" s="105"/>
      <c r="E459" s="109"/>
      <c r="F459" s="108"/>
      <c r="G459" s="111"/>
      <c r="H459" s="112"/>
    </row>
    <row r="460">
      <c r="B460" s="110"/>
      <c r="C460" s="104"/>
      <c r="D460" s="105"/>
      <c r="E460" s="109"/>
      <c r="F460" s="108"/>
      <c r="G460" s="111"/>
      <c r="H460" s="112"/>
    </row>
    <row r="461">
      <c r="B461" s="110"/>
      <c r="C461" s="104"/>
      <c r="D461" s="105"/>
      <c r="E461" s="109"/>
      <c r="F461" s="108"/>
      <c r="G461" s="111"/>
      <c r="H461" s="112"/>
    </row>
    <row r="462">
      <c r="B462" s="110"/>
      <c r="C462" s="104"/>
      <c r="D462" s="105"/>
      <c r="E462" s="109"/>
      <c r="F462" s="108"/>
      <c r="G462" s="111"/>
      <c r="H462" s="112"/>
    </row>
    <row r="463">
      <c r="B463" s="110"/>
      <c r="C463" s="104"/>
      <c r="D463" s="105"/>
      <c r="E463" s="109"/>
      <c r="F463" s="108"/>
      <c r="G463" s="111"/>
      <c r="H463" s="112"/>
    </row>
    <row r="464">
      <c r="B464" s="110"/>
      <c r="C464" s="104"/>
      <c r="D464" s="105"/>
      <c r="E464" s="109"/>
      <c r="F464" s="108"/>
      <c r="G464" s="111"/>
      <c r="H464" s="112"/>
    </row>
    <row r="465">
      <c r="B465" s="110"/>
      <c r="C465" s="104"/>
      <c r="D465" s="105"/>
      <c r="E465" s="109"/>
      <c r="F465" s="108"/>
      <c r="G465" s="111"/>
      <c r="H465" s="112"/>
    </row>
    <row r="466">
      <c r="B466" s="110"/>
      <c r="C466" s="104"/>
      <c r="D466" s="105"/>
      <c r="E466" s="109"/>
      <c r="F466" s="108"/>
      <c r="G466" s="111"/>
      <c r="H466" s="112"/>
    </row>
    <row r="467">
      <c r="B467" s="110"/>
      <c r="C467" s="104"/>
      <c r="D467" s="105"/>
      <c r="E467" s="109"/>
      <c r="F467" s="108"/>
      <c r="G467" s="111"/>
      <c r="H467" s="112"/>
    </row>
    <row r="468">
      <c r="B468" s="110"/>
      <c r="C468" s="104"/>
      <c r="D468" s="105"/>
      <c r="E468" s="109"/>
      <c r="F468" s="108"/>
      <c r="G468" s="111"/>
      <c r="H468" s="112"/>
    </row>
    <row r="469">
      <c r="B469" s="110"/>
      <c r="C469" s="104"/>
      <c r="D469" s="105"/>
      <c r="E469" s="109"/>
      <c r="F469" s="108"/>
      <c r="G469" s="111"/>
      <c r="H469" s="112"/>
    </row>
    <row r="470">
      <c r="B470" s="110"/>
      <c r="C470" s="104"/>
      <c r="D470" s="105"/>
      <c r="E470" s="109"/>
      <c r="F470" s="108"/>
      <c r="G470" s="111"/>
      <c r="H470" s="112"/>
    </row>
    <row r="471">
      <c r="B471" s="110"/>
      <c r="C471" s="104"/>
      <c r="D471" s="105"/>
      <c r="E471" s="109"/>
      <c r="F471" s="108"/>
      <c r="G471" s="111"/>
      <c r="H471" s="112"/>
    </row>
    <row r="472">
      <c r="B472" s="110"/>
      <c r="C472" s="104"/>
      <c r="D472" s="105"/>
      <c r="E472" s="109"/>
      <c r="F472" s="108"/>
      <c r="G472" s="111"/>
      <c r="H472" s="112"/>
    </row>
    <row r="473">
      <c r="B473" s="110"/>
      <c r="C473" s="104"/>
      <c r="D473" s="105"/>
      <c r="E473" s="109"/>
      <c r="F473" s="108"/>
      <c r="G473" s="111"/>
      <c r="H473" s="112"/>
    </row>
    <row r="474">
      <c r="B474" s="110"/>
      <c r="C474" s="104"/>
      <c r="D474" s="105"/>
      <c r="E474" s="109"/>
      <c r="F474" s="108"/>
      <c r="G474" s="111"/>
      <c r="H474" s="112"/>
    </row>
    <row r="475">
      <c r="B475" s="110"/>
      <c r="C475" s="104"/>
      <c r="D475" s="105"/>
      <c r="E475" s="109"/>
      <c r="F475" s="108"/>
      <c r="G475" s="111"/>
      <c r="H475" s="112"/>
    </row>
    <row r="476">
      <c r="B476" s="110"/>
      <c r="C476" s="104"/>
      <c r="D476" s="105"/>
      <c r="E476" s="109"/>
      <c r="F476" s="108"/>
      <c r="G476" s="111"/>
      <c r="H476" s="112"/>
    </row>
    <row r="477">
      <c r="B477" s="110"/>
      <c r="C477" s="104"/>
      <c r="D477" s="105"/>
      <c r="E477" s="109"/>
      <c r="F477" s="108"/>
      <c r="G477" s="111"/>
      <c r="H477" s="112"/>
    </row>
    <row r="478">
      <c r="B478" s="110"/>
      <c r="C478" s="104"/>
      <c r="D478" s="105"/>
      <c r="E478" s="109"/>
      <c r="F478" s="108"/>
      <c r="G478" s="111"/>
      <c r="H478" s="112"/>
    </row>
    <row r="479">
      <c r="B479" s="110"/>
      <c r="C479" s="104"/>
      <c r="D479" s="105"/>
      <c r="E479" s="109"/>
      <c r="F479" s="108"/>
      <c r="G479" s="111"/>
      <c r="H479" s="112"/>
    </row>
    <row r="480">
      <c r="B480" s="110"/>
      <c r="C480" s="104"/>
      <c r="D480" s="105"/>
      <c r="E480" s="109"/>
      <c r="F480" s="108"/>
      <c r="G480" s="111"/>
      <c r="H480" s="112"/>
    </row>
    <row r="481">
      <c r="B481" s="110"/>
      <c r="C481" s="104"/>
      <c r="D481" s="105"/>
      <c r="E481" s="109"/>
      <c r="F481" s="108"/>
      <c r="G481" s="111"/>
      <c r="H481" s="112"/>
    </row>
    <row r="482">
      <c r="B482" s="110"/>
      <c r="C482" s="104"/>
      <c r="D482" s="105"/>
      <c r="E482" s="109"/>
      <c r="F482" s="108"/>
      <c r="G482" s="111"/>
      <c r="H482" s="112"/>
    </row>
    <row r="483">
      <c r="B483" s="110"/>
      <c r="C483" s="104"/>
      <c r="D483" s="105"/>
      <c r="E483" s="109"/>
      <c r="F483" s="108"/>
      <c r="G483" s="111"/>
      <c r="H483" s="112"/>
    </row>
    <row r="484">
      <c r="B484" s="110"/>
      <c r="C484" s="104"/>
      <c r="D484" s="105"/>
      <c r="E484" s="109"/>
      <c r="F484" s="108"/>
      <c r="G484" s="111"/>
      <c r="H484" s="112"/>
    </row>
    <row r="485">
      <c r="B485" s="110"/>
      <c r="C485" s="104"/>
      <c r="D485" s="105"/>
      <c r="E485" s="109"/>
      <c r="F485" s="108"/>
      <c r="G485" s="111"/>
      <c r="H485" s="112"/>
    </row>
    <row r="486">
      <c r="B486" s="110"/>
      <c r="C486" s="104"/>
      <c r="D486" s="105"/>
      <c r="E486" s="109"/>
      <c r="F486" s="108"/>
      <c r="G486" s="111"/>
      <c r="H486" s="112"/>
    </row>
    <row r="487">
      <c r="B487" s="110"/>
      <c r="C487" s="104"/>
      <c r="D487" s="105"/>
      <c r="E487" s="109"/>
      <c r="F487" s="108"/>
      <c r="G487" s="111"/>
      <c r="H487" s="112"/>
    </row>
    <row r="488">
      <c r="B488" s="110"/>
      <c r="C488" s="104"/>
      <c r="D488" s="105"/>
      <c r="E488" s="109"/>
      <c r="F488" s="108"/>
      <c r="G488" s="111"/>
      <c r="H488" s="112"/>
    </row>
    <row r="489">
      <c r="B489" s="110"/>
      <c r="C489" s="104"/>
      <c r="D489" s="105"/>
      <c r="E489" s="109"/>
      <c r="F489" s="108"/>
      <c r="G489" s="111"/>
      <c r="H489" s="112"/>
    </row>
    <row r="490">
      <c r="B490" s="110"/>
      <c r="C490" s="104"/>
      <c r="D490" s="105"/>
      <c r="E490" s="109"/>
      <c r="F490" s="108"/>
      <c r="G490" s="111"/>
      <c r="H490" s="112"/>
    </row>
    <row r="491">
      <c r="B491" s="110"/>
      <c r="C491" s="104"/>
      <c r="D491" s="105"/>
      <c r="E491" s="109"/>
      <c r="F491" s="108"/>
      <c r="G491" s="111"/>
      <c r="H491" s="112"/>
    </row>
    <row r="492">
      <c r="B492" s="110"/>
      <c r="C492" s="104"/>
      <c r="D492" s="105"/>
      <c r="E492" s="109"/>
      <c r="F492" s="108"/>
      <c r="G492" s="111"/>
      <c r="H492" s="112"/>
    </row>
    <row r="493">
      <c r="B493" s="110"/>
      <c r="C493" s="104"/>
      <c r="D493" s="105"/>
      <c r="E493" s="109"/>
      <c r="F493" s="108"/>
      <c r="G493" s="111"/>
      <c r="H493" s="112"/>
    </row>
    <row r="494">
      <c r="B494" s="110"/>
      <c r="C494" s="104"/>
      <c r="D494" s="105"/>
      <c r="E494" s="109"/>
      <c r="F494" s="108"/>
      <c r="G494" s="111"/>
      <c r="H494" s="112"/>
    </row>
    <row r="495">
      <c r="B495" s="110"/>
      <c r="C495" s="104"/>
      <c r="D495" s="105"/>
      <c r="E495" s="109"/>
      <c r="F495" s="108"/>
      <c r="G495" s="111"/>
      <c r="H495" s="112"/>
    </row>
    <row r="496">
      <c r="B496" s="110"/>
      <c r="C496" s="104"/>
      <c r="D496" s="105"/>
      <c r="E496" s="109"/>
      <c r="F496" s="108"/>
      <c r="G496" s="111"/>
      <c r="H496" s="112"/>
    </row>
    <row r="497">
      <c r="B497" s="110"/>
      <c r="C497" s="104"/>
      <c r="D497" s="105"/>
      <c r="E497" s="109"/>
      <c r="F497" s="108"/>
      <c r="G497" s="111"/>
      <c r="H497" s="112"/>
    </row>
    <row r="498">
      <c r="B498" s="110"/>
      <c r="C498" s="104"/>
      <c r="D498" s="105"/>
      <c r="E498" s="109"/>
      <c r="F498" s="108"/>
      <c r="G498" s="111"/>
      <c r="H498" s="112"/>
    </row>
    <row r="499">
      <c r="B499" s="110"/>
      <c r="C499" s="104"/>
      <c r="D499" s="105"/>
      <c r="E499" s="109"/>
      <c r="F499" s="108"/>
      <c r="G499" s="111"/>
      <c r="H499" s="112"/>
    </row>
    <row r="500">
      <c r="B500" s="110"/>
      <c r="C500" s="104"/>
      <c r="D500" s="105"/>
      <c r="E500" s="109"/>
      <c r="F500" s="108"/>
      <c r="G500" s="111"/>
      <c r="H500" s="112"/>
    </row>
    <row r="501">
      <c r="B501" s="110"/>
      <c r="C501" s="104"/>
      <c r="D501" s="105"/>
      <c r="E501" s="109"/>
      <c r="F501" s="108"/>
      <c r="G501" s="111"/>
      <c r="H501" s="112"/>
    </row>
    <row r="502">
      <c r="B502" s="110"/>
      <c r="C502" s="104"/>
      <c r="D502" s="105"/>
      <c r="E502" s="109"/>
      <c r="F502" s="108"/>
      <c r="G502" s="111"/>
      <c r="H502" s="112"/>
    </row>
    <row r="503">
      <c r="B503" s="110"/>
      <c r="C503" s="104"/>
      <c r="D503" s="105"/>
      <c r="E503" s="109"/>
      <c r="F503" s="108"/>
      <c r="G503" s="111"/>
      <c r="H503" s="112"/>
    </row>
    <row r="504">
      <c r="B504" s="110"/>
      <c r="C504" s="104"/>
      <c r="D504" s="105"/>
      <c r="E504" s="109"/>
      <c r="F504" s="108"/>
      <c r="G504" s="111"/>
      <c r="H504" s="112"/>
    </row>
    <row r="505">
      <c r="B505" s="110"/>
      <c r="C505" s="104"/>
      <c r="D505" s="105"/>
      <c r="E505" s="109"/>
      <c r="F505" s="108"/>
      <c r="G505" s="111"/>
      <c r="H505" s="112"/>
    </row>
    <row r="506">
      <c r="B506" s="110"/>
      <c r="C506" s="104"/>
      <c r="D506" s="105"/>
      <c r="E506" s="109"/>
      <c r="F506" s="108"/>
      <c r="G506" s="111"/>
      <c r="H506" s="112"/>
    </row>
    <row r="507">
      <c r="B507" s="110"/>
      <c r="C507" s="104"/>
      <c r="D507" s="105"/>
      <c r="E507" s="109"/>
      <c r="F507" s="108"/>
      <c r="G507" s="111"/>
      <c r="H507" s="112"/>
    </row>
    <row r="508">
      <c r="B508" s="110"/>
      <c r="C508" s="104"/>
      <c r="D508" s="105"/>
      <c r="E508" s="109"/>
      <c r="F508" s="108"/>
      <c r="G508" s="111"/>
      <c r="H508" s="112"/>
    </row>
    <row r="509">
      <c r="B509" s="110"/>
      <c r="C509" s="104"/>
      <c r="D509" s="105"/>
      <c r="E509" s="109"/>
      <c r="F509" s="108"/>
      <c r="G509" s="111"/>
      <c r="H509" s="112"/>
    </row>
    <row r="510">
      <c r="B510" s="110"/>
      <c r="C510" s="104"/>
      <c r="D510" s="105"/>
      <c r="E510" s="109"/>
      <c r="F510" s="108"/>
      <c r="G510" s="111"/>
      <c r="H510" s="112"/>
    </row>
    <row r="511">
      <c r="B511" s="110"/>
      <c r="C511" s="104"/>
      <c r="D511" s="105"/>
      <c r="E511" s="109"/>
      <c r="F511" s="108"/>
      <c r="G511" s="111"/>
      <c r="H511" s="112"/>
    </row>
    <row r="512">
      <c r="B512" s="110"/>
      <c r="C512" s="104"/>
      <c r="D512" s="105"/>
      <c r="E512" s="109"/>
      <c r="F512" s="108"/>
      <c r="G512" s="111"/>
      <c r="H512" s="112"/>
    </row>
    <row r="513">
      <c r="B513" s="110"/>
      <c r="C513" s="104"/>
      <c r="D513" s="105"/>
      <c r="E513" s="109"/>
      <c r="F513" s="108"/>
      <c r="G513" s="111"/>
      <c r="H513" s="112"/>
    </row>
    <row r="514">
      <c r="B514" s="110"/>
      <c r="C514" s="104"/>
      <c r="D514" s="105"/>
      <c r="E514" s="109"/>
      <c r="F514" s="108"/>
      <c r="G514" s="111"/>
      <c r="H514" s="112"/>
    </row>
    <row r="515">
      <c r="B515" s="110"/>
      <c r="C515" s="104"/>
      <c r="D515" s="105"/>
      <c r="E515" s="109"/>
      <c r="F515" s="108"/>
      <c r="G515" s="111"/>
      <c r="H515" s="112"/>
    </row>
    <row r="516">
      <c r="B516" s="110"/>
      <c r="C516" s="104"/>
      <c r="D516" s="105"/>
      <c r="E516" s="109"/>
      <c r="F516" s="108"/>
      <c r="G516" s="111"/>
      <c r="H516" s="112"/>
    </row>
    <row r="517">
      <c r="B517" s="110"/>
      <c r="C517" s="104"/>
      <c r="D517" s="105"/>
      <c r="E517" s="109"/>
      <c r="F517" s="108"/>
      <c r="G517" s="111"/>
      <c r="H517" s="112"/>
    </row>
    <row r="518">
      <c r="B518" s="110"/>
      <c r="C518" s="104"/>
      <c r="D518" s="105"/>
      <c r="E518" s="109"/>
      <c r="F518" s="108"/>
      <c r="G518" s="111"/>
      <c r="H518" s="112"/>
    </row>
    <row r="519">
      <c r="B519" s="110"/>
      <c r="C519" s="104"/>
      <c r="D519" s="105"/>
      <c r="E519" s="109"/>
      <c r="F519" s="108"/>
      <c r="G519" s="111"/>
      <c r="H519" s="112"/>
    </row>
    <row r="520">
      <c r="B520" s="110"/>
      <c r="C520" s="104"/>
      <c r="D520" s="105"/>
      <c r="E520" s="109"/>
      <c r="F520" s="108"/>
      <c r="G520" s="111"/>
      <c r="H520" s="112"/>
    </row>
    <row r="521">
      <c r="B521" s="110"/>
      <c r="C521" s="104"/>
      <c r="D521" s="105"/>
      <c r="E521" s="109"/>
      <c r="F521" s="108"/>
      <c r="G521" s="111"/>
      <c r="H521" s="112"/>
    </row>
    <row r="522">
      <c r="B522" s="110"/>
      <c r="C522" s="104"/>
      <c r="D522" s="105"/>
      <c r="E522" s="109"/>
      <c r="F522" s="108"/>
      <c r="G522" s="111"/>
      <c r="H522" s="112"/>
    </row>
    <row r="523">
      <c r="B523" s="110"/>
      <c r="C523" s="104"/>
      <c r="D523" s="105"/>
      <c r="E523" s="109"/>
      <c r="F523" s="108"/>
      <c r="G523" s="111"/>
      <c r="H523" s="112"/>
    </row>
    <row r="524">
      <c r="B524" s="110"/>
      <c r="C524" s="104"/>
      <c r="D524" s="105"/>
      <c r="E524" s="109"/>
      <c r="F524" s="108"/>
      <c r="G524" s="111"/>
      <c r="H524" s="112"/>
    </row>
    <row r="525">
      <c r="B525" s="110"/>
      <c r="C525" s="104"/>
      <c r="D525" s="105"/>
      <c r="E525" s="109"/>
      <c r="F525" s="108"/>
      <c r="G525" s="111"/>
      <c r="H525" s="112"/>
    </row>
    <row r="526">
      <c r="B526" s="110"/>
      <c r="C526" s="104"/>
      <c r="D526" s="105"/>
      <c r="E526" s="109"/>
      <c r="F526" s="108"/>
      <c r="G526" s="111"/>
      <c r="H526" s="112"/>
    </row>
    <row r="527">
      <c r="B527" s="110"/>
      <c r="C527" s="104"/>
      <c r="D527" s="105"/>
      <c r="E527" s="109"/>
      <c r="F527" s="108"/>
      <c r="G527" s="111"/>
      <c r="H527" s="112"/>
    </row>
    <row r="528">
      <c r="B528" s="110"/>
      <c r="C528" s="104"/>
      <c r="D528" s="105"/>
      <c r="E528" s="109"/>
      <c r="F528" s="108"/>
      <c r="G528" s="111"/>
      <c r="H528" s="112"/>
    </row>
    <row r="529">
      <c r="B529" s="110"/>
      <c r="C529" s="104"/>
      <c r="D529" s="105"/>
      <c r="E529" s="109"/>
      <c r="F529" s="108"/>
      <c r="G529" s="111"/>
      <c r="H529" s="112"/>
    </row>
    <row r="530">
      <c r="B530" s="110"/>
      <c r="C530" s="104"/>
      <c r="D530" s="105"/>
      <c r="E530" s="109"/>
      <c r="F530" s="108"/>
      <c r="G530" s="111"/>
      <c r="H530" s="112"/>
    </row>
    <row r="531">
      <c r="B531" s="110"/>
      <c r="C531" s="104"/>
      <c r="D531" s="105"/>
      <c r="E531" s="109"/>
      <c r="F531" s="108"/>
      <c r="G531" s="111"/>
      <c r="H531" s="112"/>
    </row>
    <row r="532">
      <c r="B532" s="110"/>
      <c r="C532" s="104"/>
      <c r="D532" s="105"/>
      <c r="E532" s="109"/>
      <c r="F532" s="108"/>
      <c r="G532" s="111"/>
      <c r="H532" s="112"/>
    </row>
    <row r="533">
      <c r="B533" s="110"/>
      <c r="C533" s="104"/>
      <c r="D533" s="105"/>
      <c r="E533" s="109"/>
      <c r="F533" s="108"/>
      <c r="G533" s="111"/>
      <c r="H533" s="112"/>
    </row>
    <row r="534">
      <c r="B534" s="110"/>
      <c r="C534" s="104"/>
      <c r="D534" s="105"/>
      <c r="E534" s="109"/>
      <c r="F534" s="108"/>
      <c r="G534" s="111"/>
      <c r="H534" s="112"/>
    </row>
    <row r="535">
      <c r="B535" s="110"/>
      <c r="C535" s="104"/>
      <c r="D535" s="105"/>
      <c r="E535" s="109"/>
      <c r="F535" s="108"/>
      <c r="G535" s="111"/>
      <c r="H535" s="112"/>
    </row>
    <row r="536">
      <c r="B536" s="110"/>
      <c r="C536" s="104"/>
      <c r="D536" s="105"/>
      <c r="E536" s="109"/>
      <c r="F536" s="108"/>
      <c r="G536" s="111"/>
      <c r="H536" s="112"/>
    </row>
    <row r="537">
      <c r="B537" s="110"/>
      <c r="C537" s="104"/>
      <c r="D537" s="105"/>
      <c r="E537" s="109"/>
      <c r="F537" s="108"/>
      <c r="G537" s="111"/>
      <c r="H537" s="112"/>
    </row>
    <row r="538">
      <c r="B538" s="110"/>
      <c r="C538" s="104"/>
      <c r="D538" s="105"/>
      <c r="E538" s="109"/>
      <c r="F538" s="108"/>
      <c r="G538" s="111"/>
      <c r="H538" s="112"/>
    </row>
    <row r="539">
      <c r="B539" s="110"/>
      <c r="C539" s="104"/>
      <c r="D539" s="105"/>
      <c r="E539" s="109"/>
      <c r="F539" s="108"/>
      <c r="G539" s="111"/>
      <c r="H539" s="112"/>
    </row>
    <row r="540">
      <c r="B540" s="110"/>
      <c r="C540" s="104"/>
      <c r="D540" s="105"/>
      <c r="E540" s="109"/>
      <c r="F540" s="108"/>
      <c r="G540" s="111"/>
      <c r="H540" s="112"/>
    </row>
    <row r="541">
      <c r="B541" s="110"/>
      <c r="C541" s="104"/>
      <c r="D541" s="105"/>
      <c r="E541" s="109"/>
      <c r="F541" s="108"/>
      <c r="G541" s="111"/>
      <c r="H541" s="112"/>
    </row>
    <row r="542">
      <c r="B542" s="110"/>
      <c r="C542" s="104"/>
      <c r="D542" s="105"/>
      <c r="E542" s="109"/>
      <c r="F542" s="108"/>
      <c r="G542" s="111"/>
      <c r="H542" s="112"/>
    </row>
    <row r="543">
      <c r="B543" s="110"/>
      <c r="C543" s="104"/>
      <c r="D543" s="105"/>
      <c r="E543" s="109"/>
      <c r="F543" s="108"/>
      <c r="G543" s="111"/>
      <c r="H543" s="112"/>
    </row>
    <row r="544">
      <c r="B544" s="110"/>
      <c r="C544" s="104"/>
      <c r="D544" s="105"/>
      <c r="E544" s="109"/>
      <c r="F544" s="108"/>
      <c r="G544" s="111"/>
      <c r="H544" s="112"/>
    </row>
    <row r="545">
      <c r="B545" s="110"/>
      <c r="C545" s="104"/>
      <c r="D545" s="105"/>
      <c r="E545" s="109"/>
      <c r="F545" s="108"/>
      <c r="G545" s="111"/>
      <c r="H545" s="112"/>
    </row>
    <row r="546">
      <c r="B546" s="110"/>
      <c r="C546" s="104"/>
      <c r="D546" s="105"/>
      <c r="E546" s="109"/>
      <c r="F546" s="108"/>
      <c r="G546" s="111"/>
      <c r="H546" s="112"/>
    </row>
    <row r="547">
      <c r="B547" s="110"/>
      <c r="C547" s="104"/>
      <c r="D547" s="105"/>
      <c r="E547" s="109"/>
      <c r="F547" s="108"/>
      <c r="G547" s="111"/>
      <c r="H547" s="112"/>
    </row>
    <row r="548">
      <c r="B548" s="110"/>
      <c r="C548" s="104"/>
      <c r="D548" s="105"/>
      <c r="E548" s="109"/>
      <c r="F548" s="108"/>
      <c r="G548" s="111"/>
      <c r="H548" s="112"/>
    </row>
    <row r="549">
      <c r="B549" s="110"/>
      <c r="C549" s="104"/>
      <c r="D549" s="105"/>
      <c r="E549" s="109"/>
      <c r="F549" s="108"/>
      <c r="G549" s="111"/>
      <c r="H549" s="112"/>
    </row>
    <row r="550">
      <c r="B550" s="110"/>
      <c r="C550" s="104"/>
      <c r="D550" s="105"/>
      <c r="E550" s="109"/>
      <c r="F550" s="108"/>
      <c r="G550" s="111"/>
      <c r="H550" s="112"/>
    </row>
    <row r="551">
      <c r="B551" s="110"/>
      <c r="C551" s="104"/>
      <c r="D551" s="105"/>
      <c r="E551" s="109"/>
      <c r="F551" s="108"/>
      <c r="G551" s="111"/>
      <c r="H551" s="112"/>
    </row>
    <row r="552">
      <c r="B552" s="110"/>
      <c r="C552" s="104"/>
      <c r="D552" s="105"/>
      <c r="E552" s="109"/>
      <c r="F552" s="108"/>
      <c r="G552" s="111"/>
      <c r="H552" s="112"/>
    </row>
    <row r="553">
      <c r="B553" s="110"/>
      <c r="C553" s="104"/>
      <c r="D553" s="105"/>
      <c r="E553" s="109"/>
      <c r="F553" s="108"/>
      <c r="G553" s="111"/>
      <c r="H553" s="112"/>
    </row>
    <row r="554">
      <c r="B554" s="110"/>
      <c r="C554" s="104"/>
      <c r="D554" s="105"/>
      <c r="E554" s="109"/>
      <c r="F554" s="108"/>
      <c r="G554" s="111"/>
      <c r="H554" s="112"/>
    </row>
    <row r="555">
      <c r="B555" s="110"/>
      <c r="C555" s="104"/>
      <c r="D555" s="105"/>
      <c r="E555" s="109"/>
      <c r="F555" s="108"/>
      <c r="G555" s="111"/>
      <c r="H555" s="112"/>
    </row>
    <row r="556">
      <c r="B556" s="110"/>
      <c r="C556" s="104"/>
      <c r="D556" s="105"/>
      <c r="E556" s="109"/>
      <c r="F556" s="108"/>
      <c r="G556" s="111"/>
      <c r="H556" s="112"/>
    </row>
    <row r="557">
      <c r="B557" s="110"/>
      <c r="C557" s="104"/>
      <c r="D557" s="105"/>
      <c r="E557" s="109"/>
      <c r="F557" s="108"/>
      <c r="G557" s="111"/>
      <c r="H557" s="112"/>
    </row>
    <row r="558">
      <c r="B558" s="110"/>
      <c r="C558" s="104"/>
      <c r="D558" s="105"/>
      <c r="E558" s="109"/>
      <c r="F558" s="108"/>
      <c r="G558" s="111"/>
      <c r="H558" s="112"/>
    </row>
    <row r="559">
      <c r="B559" s="110"/>
      <c r="C559" s="104"/>
      <c r="D559" s="105"/>
      <c r="E559" s="109"/>
      <c r="F559" s="108"/>
      <c r="G559" s="111"/>
      <c r="H559" s="112"/>
    </row>
    <row r="560">
      <c r="B560" s="110"/>
      <c r="C560" s="104"/>
      <c r="D560" s="105"/>
      <c r="E560" s="109"/>
      <c r="F560" s="108"/>
      <c r="G560" s="111"/>
      <c r="H560" s="112"/>
    </row>
    <row r="561">
      <c r="B561" s="110"/>
      <c r="C561" s="104"/>
      <c r="D561" s="105"/>
      <c r="E561" s="109"/>
      <c r="F561" s="108"/>
      <c r="G561" s="111"/>
      <c r="H561" s="112"/>
    </row>
    <row r="562">
      <c r="B562" s="110"/>
      <c r="C562" s="104"/>
      <c r="D562" s="105"/>
      <c r="E562" s="109"/>
      <c r="F562" s="108"/>
      <c r="G562" s="111"/>
      <c r="H562" s="112"/>
    </row>
    <row r="563">
      <c r="B563" s="110"/>
      <c r="C563" s="104"/>
      <c r="D563" s="105"/>
      <c r="E563" s="109"/>
      <c r="F563" s="108"/>
      <c r="G563" s="111"/>
      <c r="H563" s="112"/>
    </row>
    <row r="564">
      <c r="B564" s="110"/>
      <c r="C564" s="104"/>
      <c r="D564" s="105"/>
      <c r="E564" s="109"/>
      <c r="F564" s="108"/>
      <c r="G564" s="111"/>
      <c r="H564" s="112"/>
    </row>
    <row r="565">
      <c r="B565" s="110"/>
      <c r="C565" s="104"/>
      <c r="D565" s="105"/>
      <c r="E565" s="109"/>
      <c r="F565" s="108"/>
      <c r="G565" s="111"/>
      <c r="H565" s="112"/>
    </row>
    <row r="566">
      <c r="B566" s="110"/>
      <c r="C566" s="104"/>
      <c r="D566" s="105"/>
      <c r="E566" s="109"/>
      <c r="F566" s="108"/>
      <c r="G566" s="111"/>
      <c r="H566" s="112"/>
    </row>
    <row r="567">
      <c r="B567" s="110"/>
      <c r="C567" s="104"/>
      <c r="D567" s="105"/>
      <c r="E567" s="109"/>
      <c r="F567" s="108"/>
      <c r="G567" s="111"/>
      <c r="H567" s="112"/>
    </row>
    <row r="568">
      <c r="B568" s="110"/>
      <c r="C568" s="104"/>
      <c r="D568" s="105"/>
      <c r="E568" s="109"/>
      <c r="F568" s="108"/>
      <c r="G568" s="111"/>
      <c r="H568" s="112"/>
    </row>
    <row r="569">
      <c r="B569" s="110"/>
      <c r="C569" s="104"/>
      <c r="D569" s="105"/>
      <c r="E569" s="109"/>
      <c r="F569" s="108"/>
      <c r="G569" s="111"/>
      <c r="H569" s="112"/>
    </row>
    <row r="570">
      <c r="B570" s="110"/>
      <c r="C570" s="104"/>
      <c r="D570" s="105"/>
      <c r="E570" s="109"/>
      <c r="F570" s="108"/>
      <c r="G570" s="111"/>
      <c r="H570" s="112"/>
    </row>
    <row r="571">
      <c r="B571" s="110"/>
      <c r="C571" s="104"/>
      <c r="D571" s="105"/>
      <c r="E571" s="109"/>
      <c r="F571" s="108"/>
      <c r="G571" s="111"/>
      <c r="H571" s="112"/>
    </row>
    <row r="572">
      <c r="B572" s="110"/>
      <c r="C572" s="104"/>
      <c r="D572" s="105"/>
      <c r="E572" s="109"/>
      <c r="F572" s="108"/>
      <c r="G572" s="111"/>
      <c r="H572" s="112"/>
    </row>
    <row r="573">
      <c r="B573" s="110"/>
      <c r="C573" s="104"/>
      <c r="D573" s="105"/>
      <c r="E573" s="109"/>
      <c r="F573" s="108"/>
      <c r="G573" s="111"/>
      <c r="H573" s="112"/>
    </row>
    <row r="574">
      <c r="B574" s="110"/>
      <c r="C574" s="104"/>
      <c r="D574" s="105"/>
      <c r="E574" s="109"/>
      <c r="F574" s="108"/>
      <c r="G574" s="111"/>
      <c r="H574" s="112"/>
    </row>
    <row r="575">
      <c r="B575" s="110"/>
      <c r="C575" s="104"/>
      <c r="D575" s="105"/>
      <c r="E575" s="109"/>
      <c r="F575" s="108"/>
      <c r="G575" s="111"/>
      <c r="H575" s="112"/>
    </row>
    <row r="576">
      <c r="B576" s="110"/>
      <c r="C576" s="104"/>
      <c r="D576" s="105"/>
      <c r="E576" s="109"/>
      <c r="F576" s="108"/>
      <c r="G576" s="111"/>
      <c r="H576" s="112"/>
    </row>
    <row r="577">
      <c r="B577" s="110"/>
      <c r="C577" s="104"/>
      <c r="D577" s="105"/>
      <c r="E577" s="109"/>
      <c r="F577" s="108"/>
      <c r="G577" s="111"/>
      <c r="H577" s="112"/>
    </row>
    <row r="578">
      <c r="B578" s="110"/>
      <c r="C578" s="104"/>
      <c r="D578" s="105"/>
      <c r="E578" s="109"/>
      <c r="F578" s="108"/>
      <c r="G578" s="111"/>
      <c r="H578" s="112"/>
    </row>
    <row r="579">
      <c r="B579" s="110"/>
      <c r="C579" s="104"/>
      <c r="D579" s="105"/>
      <c r="E579" s="109"/>
      <c r="F579" s="108"/>
      <c r="G579" s="111"/>
      <c r="H579" s="112"/>
    </row>
    <row r="580">
      <c r="B580" s="110"/>
      <c r="C580" s="104"/>
      <c r="D580" s="105"/>
      <c r="E580" s="109"/>
      <c r="F580" s="108"/>
      <c r="G580" s="111"/>
      <c r="H580" s="112"/>
    </row>
    <row r="581">
      <c r="B581" s="110"/>
      <c r="C581" s="104"/>
      <c r="D581" s="105"/>
      <c r="E581" s="109"/>
      <c r="F581" s="108"/>
      <c r="G581" s="111"/>
      <c r="H581" s="112"/>
    </row>
    <row r="582">
      <c r="B582" s="110"/>
      <c r="C582" s="104"/>
      <c r="D582" s="105"/>
      <c r="E582" s="109"/>
      <c r="F582" s="108"/>
      <c r="G582" s="111"/>
      <c r="H582" s="112"/>
    </row>
    <row r="583">
      <c r="B583" s="110"/>
      <c r="C583" s="104"/>
      <c r="D583" s="105"/>
      <c r="E583" s="109"/>
      <c r="F583" s="108"/>
      <c r="G583" s="111"/>
      <c r="H583" s="112"/>
    </row>
    <row r="584">
      <c r="B584" s="110"/>
      <c r="C584" s="104"/>
      <c r="D584" s="105"/>
      <c r="E584" s="109"/>
      <c r="F584" s="108"/>
      <c r="G584" s="111"/>
      <c r="H584" s="112"/>
    </row>
    <row r="585">
      <c r="B585" s="110"/>
      <c r="C585" s="104"/>
      <c r="D585" s="105"/>
      <c r="E585" s="109"/>
      <c r="F585" s="108"/>
      <c r="G585" s="111"/>
      <c r="H585" s="112"/>
    </row>
    <row r="586">
      <c r="B586" s="110"/>
      <c r="C586" s="104"/>
      <c r="D586" s="105"/>
      <c r="E586" s="109"/>
      <c r="F586" s="108"/>
      <c r="G586" s="111"/>
      <c r="H586" s="112"/>
    </row>
    <row r="587">
      <c r="B587" s="110"/>
      <c r="C587" s="104"/>
      <c r="D587" s="105"/>
      <c r="E587" s="109"/>
      <c r="F587" s="108"/>
      <c r="G587" s="111"/>
      <c r="H587" s="112"/>
    </row>
    <row r="588">
      <c r="B588" s="110"/>
      <c r="C588" s="104"/>
      <c r="D588" s="105"/>
      <c r="E588" s="109"/>
      <c r="F588" s="108"/>
      <c r="G588" s="111"/>
      <c r="H588" s="112"/>
    </row>
    <row r="589">
      <c r="B589" s="110"/>
      <c r="C589" s="104"/>
      <c r="D589" s="105"/>
      <c r="E589" s="109"/>
      <c r="F589" s="108"/>
      <c r="G589" s="111"/>
      <c r="H589" s="112"/>
    </row>
    <row r="590">
      <c r="B590" s="110"/>
      <c r="C590" s="104"/>
      <c r="D590" s="105"/>
      <c r="E590" s="109"/>
      <c r="F590" s="108"/>
      <c r="G590" s="111"/>
      <c r="H590" s="112"/>
    </row>
    <row r="591">
      <c r="B591" s="110"/>
      <c r="C591" s="104"/>
      <c r="D591" s="105"/>
      <c r="E591" s="109"/>
      <c r="F591" s="108"/>
      <c r="G591" s="111"/>
      <c r="H591" s="112"/>
    </row>
    <row r="592">
      <c r="B592" s="110"/>
      <c r="C592" s="104"/>
      <c r="D592" s="105"/>
      <c r="E592" s="109"/>
      <c r="F592" s="108"/>
      <c r="G592" s="111"/>
      <c r="H592" s="112"/>
    </row>
    <row r="593">
      <c r="B593" s="110"/>
      <c r="C593" s="104"/>
      <c r="D593" s="105"/>
      <c r="E593" s="109"/>
      <c r="F593" s="108"/>
      <c r="G593" s="111"/>
      <c r="H593" s="112"/>
    </row>
    <row r="594">
      <c r="B594" s="110"/>
      <c r="C594" s="104"/>
      <c r="D594" s="105"/>
      <c r="E594" s="109"/>
      <c r="F594" s="108"/>
      <c r="G594" s="111"/>
      <c r="H594" s="112"/>
    </row>
    <row r="595">
      <c r="B595" s="110"/>
      <c r="C595" s="104"/>
      <c r="D595" s="105"/>
      <c r="E595" s="109"/>
      <c r="F595" s="108"/>
      <c r="G595" s="111"/>
      <c r="H595" s="112"/>
    </row>
    <row r="596">
      <c r="B596" s="110"/>
      <c r="C596" s="104"/>
      <c r="D596" s="105"/>
      <c r="E596" s="109"/>
      <c r="F596" s="108"/>
      <c r="G596" s="111"/>
      <c r="H596" s="112"/>
    </row>
    <row r="597">
      <c r="B597" s="110"/>
      <c r="C597" s="104"/>
      <c r="D597" s="105"/>
      <c r="E597" s="109"/>
      <c r="F597" s="108"/>
      <c r="G597" s="111"/>
      <c r="H597" s="112"/>
    </row>
    <row r="598">
      <c r="B598" s="110"/>
      <c r="C598" s="104"/>
      <c r="D598" s="105"/>
      <c r="E598" s="109"/>
      <c r="F598" s="108"/>
      <c r="G598" s="111"/>
      <c r="H598" s="112"/>
    </row>
    <row r="599">
      <c r="B599" s="110"/>
      <c r="C599" s="104"/>
      <c r="D599" s="105"/>
      <c r="E599" s="109"/>
      <c r="F599" s="108"/>
      <c r="G599" s="111"/>
      <c r="H599" s="112"/>
    </row>
    <row r="600">
      <c r="B600" s="110"/>
      <c r="C600" s="104"/>
      <c r="D600" s="105"/>
      <c r="E600" s="109"/>
      <c r="F600" s="108"/>
      <c r="G600" s="111"/>
      <c r="H600" s="112"/>
    </row>
    <row r="601">
      <c r="B601" s="110"/>
      <c r="C601" s="104"/>
      <c r="D601" s="105"/>
      <c r="E601" s="109"/>
      <c r="F601" s="108"/>
      <c r="G601" s="111"/>
      <c r="H601" s="112"/>
    </row>
    <row r="602">
      <c r="B602" s="110"/>
      <c r="C602" s="104"/>
      <c r="D602" s="105"/>
      <c r="E602" s="109"/>
      <c r="F602" s="108"/>
      <c r="G602" s="111"/>
      <c r="H602" s="112"/>
    </row>
    <row r="603">
      <c r="B603" s="110"/>
      <c r="C603" s="104"/>
      <c r="D603" s="105"/>
      <c r="E603" s="109"/>
      <c r="F603" s="108"/>
      <c r="G603" s="111"/>
      <c r="H603" s="112"/>
    </row>
    <row r="604">
      <c r="B604" s="110"/>
      <c r="C604" s="104"/>
      <c r="D604" s="105"/>
      <c r="E604" s="109"/>
      <c r="F604" s="108"/>
      <c r="G604" s="111"/>
      <c r="H604" s="112"/>
    </row>
    <row r="605">
      <c r="B605" s="110"/>
      <c r="C605" s="104"/>
      <c r="D605" s="105"/>
      <c r="E605" s="109"/>
      <c r="F605" s="108"/>
      <c r="G605" s="111"/>
      <c r="H605" s="112"/>
    </row>
    <row r="606">
      <c r="B606" s="110"/>
      <c r="C606" s="104"/>
      <c r="D606" s="105"/>
      <c r="E606" s="109"/>
      <c r="F606" s="108"/>
      <c r="G606" s="111"/>
      <c r="H606" s="112"/>
    </row>
    <row r="607">
      <c r="B607" s="110"/>
      <c r="C607" s="104"/>
      <c r="D607" s="105"/>
      <c r="E607" s="109"/>
      <c r="F607" s="108"/>
      <c r="G607" s="111"/>
      <c r="H607" s="112"/>
    </row>
    <row r="608">
      <c r="B608" s="110"/>
      <c r="C608" s="104"/>
      <c r="D608" s="105"/>
      <c r="E608" s="109"/>
      <c r="F608" s="108"/>
      <c r="G608" s="111"/>
      <c r="H608" s="112"/>
    </row>
    <row r="609">
      <c r="B609" s="110"/>
      <c r="C609" s="104"/>
      <c r="D609" s="105"/>
      <c r="E609" s="109"/>
      <c r="F609" s="108"/>
      <c r="G609" s="111"/>
      <c r="H609" s="112"/>
    </row>
    <row r="610">
      <c r="B610" s="110"/>
      <c r="C610" s="104"/>
      <c r="D610" s="105"/>
      <c r="E610" s="109"/>
      <c r="F610" s="108"/>
      <c r="G610" s="111"/>
      <c r="H610" s="112"/>
    </row>
    <row r="611">
      <c r="B611" s="110"/>
      <c r="C611" s="104"/>
      <c r="D611" s="105"/>
      <c r="E611" s="109"/>
      <c r="F611" s="108"/>
      <c r="G611" s="111"/>
      <c r="H611" s="112"/>
    </row>
    <row r="612">
      <c r="B612" s="110"/>
      <c r="C612" s="104"/>
      <c r="D612" s="105"/>
      <c r="E612" s="109"/>
      <c r="F612" s="108"/>
      <c r="G612" s="111"/>
      <c r="H612" s="112"/>
    </row>
    <row r="613">
      <c r="B613" s="110"/>
      <c r="C613" s="104"/>
      <c r="D613" s="105"/>
      <c r="E613" s="109"/>
      <c r="F613" s="108"/>
      <c r="G613" s="111"/>
      <c r="H613" s="112"/>
    </row>
    <row r="614">
      <c r="B614" s="110"/>
      <c r="C614" s="104"/>
      <c r="D614" s="105"/>
      <c r="E614" s="109"/>
      <c r="F614" s="108"/>
      <c r="G614" s="111"/>
      <c r="H614" s="112"/>
    </row>
    <row r="615">
      <c r="B615" s="110"/>
      <c r="C615" s="104"/>
      <c r="D615" s="105"/>
      <c r="E615" s="109"/>
      <c r="F615" s="108"/>
      <c r="G615" s="111"/>
      <c r="H615" s="112"/>
    </row>
    <row r="616">
      <c r="B616" s="110"/>
      <c r="C616" s="104"/>
      <c r="D616" s="105"/>
      <c r="E616" s="109"/>
      <c r="F616" s="108"/>
      <c r="G616" s="111"/>
      <c r="H616" s="112"/>
    </row>
    <row r="617">
      <c r="B617" s="110"/>
      <c r="C617" s="104"/>
      <c r="D617" s="105"/>
      <c r="E617" s="109"/>
      <c r="F617" s="108"/>
      <c r="G617" s="111"/>
      <c r="H617" s="112"/>
    </row>
    <row r="618">
      <c r="B618" s="110"/>
      <c r="C618" s="104"/>
      <c r="D618" s="105"/>
      <c r="E618" s="109"/>
      <c r="F618" s="108"/>
      <c r="G618" s="111"/>
      <c r="H618" s="112"/>
    </row>
    <row r="619">
      <c r="B619" s="110"/>
      <c r="C619" s="104"/>
      <c r="D619" s="105"/>
      <c r="E619" s="109"/>
      <c r="F619" s="108"/>
      <c r="G619" s="111"/>
      <c r="H619" s="112"/>
    </row>
    <row r="620">
      <c r="B620" s="110"/>
      <c r="C620" s="104"/>
      <c r="D620" s="105"/>
      <c r="E620" s="109"/>
      <c r="F620" s="108"/>
      <c r="G620" s="111"/>
      <c r="H620" s="112"/>
    </row>
    <row r="621">
      <c r="B621" s="110"/>
      <c r="C621" s="104"/>
      <c r="D621" s="105"/>
      <c r="E621" s="109"/>
      <c r="F621" s="108"/>
      <c r="G621" s="111"/>
      <c r="H621" s="112"/>
    </row>
    <row r="622">
      <c r="B622" s="110"/>
      <c r="C622" s="104"/>
      <c r="D622" s="105"/>
      <c r="E622" s="109"/>
      <c r="F622" s="108"/>
      <c r="G622" s="111"/>
      <c r="H622" s="112"/>
    </row>
    <row r="623">
      <c r="B623" s="110"/>
      <c r="C623" s="104"/>
      <c r="D623" s="105"/>
      <c r="E623" s="109"/>
      <c r="F623" s="108"/>
      <c r="G623" s="111"/>
      <c r="H623" s="112"/>
    </row>
    <row r="624">
      <c r="B624" s="110"/>
      <c r="C624" s="104"/>
      <c r="D624" s="105"/>
      <c r="E624" s="109"/>
      <c r="F624" s="108"/>
      <c r="G624" s="111"/>
      <c r="H624" s="112"/>
    </row>
    <row r="625">
      <c r="B625" s="110"/>
      <c r="C625" s="104"/>
      <c r="D625" s="105"/>
      <c r="E625" s="109"/>
      <c r="F625" s="108"/>
      <c r="G625" s="111"/>
      <c r="H625" s="112"/>
    </row>
    <row r="626">
      <c r="B626" s="110"/>
      <c r="C626" s="104"/>
      <c r="D626" s="105"/>
      <c r="E626" s="109"/>
      <c r="F626" s="108"/>
      <c r="G626" s="111"/>
      <c r="H626" s="112"/>
    </row>
    <row r="627">
      <c r="B627" s="110"/>
      <c r="C627" s="104"/>
      <c r="D627" s="105"/>
      <c r="E627" s="109"/>
      <c r="F627" s="108"/>
      <c r="G627" s="111"/>
      <c r="H627" s="112"/>
    </row>
    <row r="628">
      <c r="B628" s="110"/>
      <c r="C628" s="104"/>
      <c r="D628" s="105"/>
      <c r="E628" s="109"/>
      <c r="F628" s="108"/>
      <c r="G628" s="111"/>
      <c r="H628" s="112"/>
    </row>
    <row r="629">
      <c r="B629" s="110"/>
      <c r="C629" s="104"/>
      <c r="D629" s="105"/>
      <c r="E629" s="109"/>
      <c r="F629" s="108"/>
      <c r="G629" s="111"/>
      <c r="H629" s="112"/>
    </row>
    <row r="630">
      <c r="B630" s="110"/>
      <c r="C630" s="104"/>
      <c r="D630" s="105"/>
      <c r="E630" s="109"/>
      <c r="F630" s="108"/>
      <c r="G630" s="111"/>
      <c r="H630" s="112"/>
    </row>
    <row r="631">
      <c r="B631" s="110"/>
      <c r="C631" s="104"/>
      <c r="D631" s="105"/>
      <c r="E631" s="109"/>
      <c r="F631" s="108"/>
      <c r="G631" s="111"/>
      <c r="H631" s="112"/>
    </row>
    <row r="632">
      <c r="B632" s="110"/>
      <c r="C632" s="104"/>
      <c r="D632" s="105"/>
      <c r="E632" s="109"/>
      <c r="F632" s="108"/>
      <c r="G632" s="111"/>
      <c r="H632" s="112"/>
    </row>
    <row r="633">
      <c r="B633" s="110"/>
      <c r="C633" s="104"/>
      <c r="D633" s="105"/>
      <c r="E633" s="109"/>
      <c r="F633" s="108"/>
      <c r="G633" s="111"/>
      <c r="H633" s="112"/>
    </row>
    <row r="634">
      <c r="B634" s="110"/>
      <c r="C634" s="104"/>
      <c r="D634" s="105"/>
      <c r="E634" s="109"/>
      <c r="F634" s="108"/>
      <c r="G634" s="111"/>
      <c r="H634" s="112"/>
    </row>
    <row r="635">
      <c r="B635" s="110"/>
      <c r="C635" s="104"/>
      <c r="D635" s="105"/>
      <c r="E635" s="109"/>
      <c r="F635" s="108"/>
      <c r="G635" s="111"/>
      <c r="H635" s="112"/>
    </row>
    <row r="636">
      <c r="B636" s="110"/>
      <c r="C636" s="104"/>
      <c r="D636" s="105"/>
      <c r="E636" s="109"/>
      <c r="F636" s="108"/>
      <c r="G636" s="111"/>
      <c r="H636" s="112"/>
    </row>
    <row r="637">
      <c r="B637" s="110"/>
      <c r="C637" s="104"/>
      <c r="D637" s="105"/>
      <c r="E637" s="109"/>
      <c r="F637" s="108"/>
      <c r="G637" s="111"/>
      <c r="H637" s="112"/>
    </row>
    <row r="638">
      <c r="B638" s="110"/>
      <c r="C638" s="104"/>
      <c r="D638" s="105"/>
      <c r="E638" s="109"/>
      <c r="F638" s="108"/>
      <c r="G638" s="111"/>
      <c r="H638" s="112"/>
    </row>
    <row r="639">
      <c r="B639" s="110"/>
      <c r="C639" s="104"/>
      <c r="D639" s="105"/>
      <c r="E639" s="109"/>
      <c r="F639" s="108"/>
      <c r="G639" s="111"/>
      <c r="H639" s="112"/>
    </row>
    <row r="640">
      <c r="B640" s="110"/>
      <c r="C640" s="104"/>
      <c r="D640" s="105"/>
      <c r="E640" s="109"/>
      <c r="F640" s="108"/>
      <c r="G640" s="111"/>
      <c r="H640" s="112"/>
    </row>
    <row r="641">
      <c r="B641" s="110"/>
      <c r="C641" s="104"/>
      <c r="D641" s="105"/>
      <c r="E641" s="109"/>
      <c r="F641" s="108"/>
      <c r="G641" s="111"/>
      <c r="H641" s="112"/>
    </row>
    <row r="642">
      <c r="B642" s="110"/>
      <c r="C642" s="104"/>
      <c r="D642" s="105"/>
      <c r="E642" s="109"/>
      <c r="F642" s="108"/>
      <c r="G642" s="111"/>
      <c r="H642" s="112"/>
    </row>
    <row r="643">
      <c r="B643" s="110"/>
      <c r="C643" s="104"/>
      <c r="D643" s="105"/>
      <c r="E643" s="109"/>
      <c r="F643" s="108"/>
      <c r="G643" s="111"/>
      <c r="H643" s="112"/>
    </row>
    <row r="644">
      <c r="B644" s="110"/>
      <c r="C644" s="104"/>
      <c r="D644" s="105"/>
      <c r="E644" s="109"/>
      <c r="F644" s="108"/>
      <c r="G644" s="111"/>
      <c r="H644" s="112"/>
    </row>
    <row r="645">
      <c r="B645" s="110"/>
      <c r="C645" s="104"/>
      <c r="D645" s="105"/>
      <c r="E645" s="109"/>
      <c r="F645" s="108"/>
      <c r="G645" s="111"/>
      <c r="H645" s="112"/>
    </row>
    <row r="646">
      <c r="B646" s="110"/>
      <c r="C646" s="104"/>
      <c r="D646" s="105"/>
      <c r="E646" s="109"/>
      <c r="F646" s="108"/>
      <c r="G646" s="111"/>
      <c r="H646" s="112"/>
    </row>
    <row r="647">
      <c r="B647" s="110"/>
      <c r="C647" s="104"/>
      <c r="D647" s="105"/>
      <c r="E647" s="109"/>
      <c r="F647" s="108"/>
      <c r="G647" s="111"/>
      <c r="H647" s="112"/>
    </row>
    <row r="648">
      <c r="B648" s="110"/>
      <c r="C648" s="104"/>
      <c r="D648" s="105"/>
      <c r="E648" s="109"/>
      <c r="F648" s="108"/>
      <c r="G648" s="111"/>
      <c r="H648" s="112"/>
    </row>
    <row r="649">
      <c r="B649" s="110"/>
      <c r="C649" s="104"/>
      <c r="D649" s="105"/>
      <c r="E649" s="109"/>
      <c r="F649" s="108"/>
      <c r="G649" s="111"/>
      <c r="H649" s="112"/>
    </row>
    <row r="650">
      <c r="B650" s="110"/>
      <c r="C650" s="104"/>
      <c r="D650" s="105"/>
      <c r="E650" s="109"/>
      <c r="F650" s="108"/>
      <c r="G650" s="111"/>
      <c r="H650" s="112"/>
    </row>
    <row r="651">
      <c r="B651" s="110"/>
      <c r="C651" s="104"/>
      <c r="D651" s="105"/>
      <c r="E651" s="109"/>
      <c r="F651" s="108"/>
      <c r="G651" s="111"/>
      <c r="H651" s="112"/>
    </row>
    <row r="652">
      <c r="B652" s="110"/>
      <c r="C652" s="104"/>
      <c r="D652" s="105"/>
      <c r="E652" s="109"/>
      <c r="F652" s="108"/>
      <c r="G652" s="111"/>
      <c r="H652" s="112"/>
    </row>
    <row r="653">
      <c r="B653" s="110"/>
      <c r="C653" s="104"/>
      <c r="D653" s="105"/>
      <c r="E653" s="109"/>
      <c r="F653" s="108"/>
      <c r="G653" s="111"/>
      <c r="H653" s="112"/>
    </row>
    <row r="654">
      <c r="B654" s="110"/>
      <c r="C654" s="104"/>
      <c r="D654" s="105"/>
      <c r="E654" s="109"/>
      <c r="F654" s="108"/>
      <c r="G654" s="111"/>
      <c r="H654" s="112"/>
    </row>
    <row r="655">
      <c r="B655" s="110"/>
      <c r="C655" s="104"/>
      <c r="D655" s="105"/>
      <c r="E655" s="109"/>
      <c r="F655" s="108"/>
      <c r="G655" s="111"/>
      <c r="H655" s="112"/>
    </row>
    <row r="656">
      <c r="B656" s="110"/>
      <c r="C656" s="104"/>
      <c r="D656" s="105"/>
      <c r="E656" s="109"/>
      <c r="F656" s="108"/>
      <c r="G656" s="111"/>
      <c r="H656" s="112"/>
    </row>
    <row r="657">
      <c r="B657" s="110"/>
      <c r="C657" s="104"/>
      <c r="D657" s="105"/>
      <c r="E657" s="109"/>
      <c r="F657" s="108"/>
      <c r="G657" s="111"/>
      <c r="H657" s="112"/>
    </row>
    <row r="658">
      <c r="B658" s="110"/>
      <c r="C658" s="104"/>
      <c r="D658" s="105"/>
      <c r="E658" s="109"/>
      <c r="F658" s="108"/>
      <c r="G658" s="111"/>
      <c r="H658" s="112"/>
    </row>
    <row r="659">
      <c r="B659" s="110"/>
      <c r="C659" s="104"/>
      <c r="D659" s="105"/>
      <c r="E659" s="109"/>
      <c r="F659" s="108"/>
      <c r="G659" s="111"/>
      <c r="H659" s="112"/>
    </row>
    <row r="660">
      <c r="B660" s="110"/>
      <c r="C660" s="104"/>
      <c r="D660" s="105"/>
      <c r="E660" s="109"/>
      <c r="F660" s="108"/>
      <c r="G660" s="111"/>
      <c r="H660" s="112"/>
    </row>
    <row r="661">
      <c r="B661" s="110"/>
      <c r="C661" s="104"/>
      <c r="D661" s="105"/>
      <c r="E661" s="109"/>
      <c r="F661" s="108"/>
      <c r="G661" s="111"/>
      <c r="H661" s="112"/>
    </row>
    <row r="662">
      <c r="B662" s="110"/>
      <c r="C662" s="104"/>
      <c r="D662" s="105"/>
      <c r="E662" s="109"/>
      <c r="F662" s="108"/>
      <c r="G662" s="111"/>
      <c r="H662" s="112"/>
    </row>
    <row r="663">
      <c r="B663" s="110"/>
      <c r="C663" s="104"/>
      <c r="D663" s="105"/>
      <c r="E663" s="109"/>
      <c r="F663" s="108"/>
      <c r="G663" s="111"/>
      <c r="H663" s="112"/>
    </row>
    <row r="664">
      <c r="B664" s="110"/>
      <c r="C664" s="104"/>
      <c r="D664" s="105"/>
      <c r="E664" s="109"/>
      <c r="F664" s="108"/>
      <c r="G664" s="111"/>
      <c r="H664" s="112"/>
    </row>
    <row r="665">
      <c r="B665" s="110"/>
      <c r="C665" s="104"/>
      <c r="D665" s="105"/>
      <c r="E665" s="109"/>
      <c r="F665" s="108"/>
      <c r="G665" s="111"/>
      <c r="H665" s="112"/>
    </row>
    <row r="666">
      <c r="B666" s="110"/>
      <c r="C666" s="104"/>
      <c r="D666" s="105"/>
      <c r="E666" s="109"/>
      <c r="F666" s="108"/>
      <c r="G666" s="111"/>
      <c r="H666" s="112"/>
    </row>
    <row r="667">
      <c r="B667" s="110"/>
      <c r="C667" s="104"/>
      <c r="D667" s="105"/>
      <c r="E667" s="109"/>
      <c r="F667" s="108"/>
      <c r="G667" s="111"/>
      <c r="H667" s="112"/>
    </row>
    <row r="668">
      <c r="B668" s="110"/>
      <c r="C668" s="104"/>
      <c r="D668" s="105"/>
      <c r="E668" s="109"/>
      <c r="F668" s="108"/>
      <c r="G668" s="111"/>
      <c r="H668" s="112"/>
    </row>
    <row r="669">
      <c r="B669" s="110"/>
      <c r="C669" s="104"/>
      <c r="D669" s="105"/>
      <c r="E669" s="109"/>
      <c r="F669" s="108"/>
      <c r="G669" s="111"/>
      <c r="H669" s="112"/>
    </row>
    <row r="670">
      <c r="B670" s="110"/>
      <c r="C670" s="104"/>
      <c r="D670" s="105"/>
      <c r="E670" s="109"/>
      <c r="F670" s="108"/>
      <c r="G670" s="111"/>
      <c r="H670" s="112"/>
    </row>
    <row r="671">
      <c r="B671" s="110"/>
      <c r="C671" s="104"/>
      <c r="D671" s="105"/>
      <c r="E671" s="109"/>
      <c r="F671" s="108"/>
      <c r="G671" s="111"/>
      <c r="H671" s="112"/>
    </row>
    <row r="672">
      <c r="B672" s="110"/>
      <c r="C672" s="104"/>
      <c r="D672" s="105"/>
      <c r="E672" s="109"/>
      <c r="F672" s="108"/>
      <c r="G672" s="111"/>
      <c r="H672" s="112"/>
    </row>
    <row r="673">
      <c r="B673" s="110"/>
      <c r="C673" s="104"/>
      <c r="D673" s="105"/>
      <c r="E673" s="109"/>
      <c r="F673" s="108"/>
      <c r="G673" s="111"/>
      <c r="H673" s="112"/>
    </row>
    <row r="674">
      <c r="B674" s="110"/>
      <c r="C674" s="104"/>
      <c r="D674" s="105"/>
      <c r="E674" s="109"/>
      <c r="F674" s="108"/>
      <c r="G674" s="111"/>
      <c r="H674" s="112"/>
    </row>
    <row r="675">
      <c r="B675" s="110"/>
      <c r="C675" s="104"/>
      <c r="D675" s="105"/>
      <c r="E675" s="109"/>
      <c r="F675" s="108"/>
      <c r="G675" s="111"/>
      <c r="H675" s="112"/>
    </row>
    <row r="676">
      <c r="B676" s="110"/>
      <c r="C676" s="104"/>
      <c r="D676" s="105"/>
      <c r="E676" s="109"/>
      <c r="F676" s="108"/>
      <c r="G676" s="111"/>
      <c r="H676" s="112"/>
    </row>
    <row r="677">
      <c r="B677" s="110"/>
      <c r="C677" s="104"/>
      <c r="D677" s="105"/>
      <c r="E677" s="109"/>
      <c r="F677" s="108"/>
      <c r="G677" s="111"/>
      <c r="H677" s="112"/>
    </row>
    <row r="678">
      <c r="B678" s="110"/>
      <c r="C678" s="104"/>
      <c r="D678" s="105"/>
      <c r="E678" s="109"/>
      <c r="F678" s="108"/>
      <c r="G678" s="111"/>
      <c r="H678" s="112"/>
    </row>
    <row r="679">
      <c r="B679" s="110"/>
      <c r="C679" s="104"/>
      <c r="D679" s="105"/>
      <c r="E679" s="109"/>
      <c r="F679" s="108"/>
      <c r="G679" s="111"/>
      <c r="H679" s="112"/>
    </row>
    <row r="680">
      <c r="B680" s="110"/>
      <c r="C680" s="104"/>
      <c r="D680" s="105"/>
      <c r="E680" s="109"/>
      <c r="F680" s="108"/>
      <c r="G680" s="111"/>
      <c r="H680" s="112"/>
    </row>
    <row r="681">
      <c r="B681" s="110"/>
      <c r="C681" s="104"/>
      <c r="D681" s="105"/>
      <c r="E681" s="109"/>
      <c r="F681" s="108"/>
      <c r="G681" s="111"/>
      <c r="H681" s="112"/>
    </row>
    <row r="682">
      <c r="B682" s="110"/>
      <c r="C682" s="104"/>
      <c r="D682" s="105"/>
      <c r="E682" s="109"/>
      <c r="F682" s="108"/>
      <c r="G682" s="111"/>
      <c r="H682" s="112"/>
    </row>
    <row r="683">
      <c r="B683" s="110"/>
      <c r="C683" s="104"/>
      <c r="D683" s="105"/>
      <c r="E683" s="109"/>
      <c r="F683" s="108"/>
      <c r="G683" s="111"/>
      <c r="H683" s="112"/>
    </row>
    <row r="684">
      <c r="B684" s="110"/>
      <c r="C684" s="104"/>
      <c r="D684" s="105"/>
      <c r="E684" s="109"/>
      <c r="F684" s="108"/>
      <c r="G684" s="111"/>
      <c r="H684" s="112"/>
    </row>
    <row r="685">
      <c r="B685" s="110"/>
      <c r="C685" s="104"/>
      <c r="D685" s="105"/>
      <c r="E685" s="109"/>
      <c r="F685" s="108"/>
      <c r="G685" s="111"/>
      <c r="H685" s="112"/>
    </row>
    <row r="686">
      <c r="B686" s="110"/>
      <c r="C686" s="104"/>
      <c r="D686" s="105"/>
      <c r="E686" s="109"/>
      <c r="F686" s="108"/>
      <c r="G686" s="111"/>
      <c r="H686" s="112"/>
    </row>
    <row r="687">
      <c r="B687" s="110"/>
      <c r="C687" s="104"/>
      <c r="D687" s="105"/>
      <c r="E687" s="109"/>
      <c r="F687" s="108"/>
      <c r="G687" s="111"/>
      <c r="H687" s="112"/>
    </row>
    <row r="688">
      <c r="B688" s="110"/>
      <c r="C688" s="104"/>
      <c r="D688" s="105"/>
      <c r="E688" s="109"/>
      <c r="F688" s="108"/>
      <c r="G688" s="111"/>
      <c r="H688" s="112"/>
    </row>
    <row r="689">
      <c r="B689" s="110"/>
      <c r="C689" s="104"/>
      <c r="D689" s="105"/>
      <c r="E689" s="109"/>
      <c r="F689" s="108"/>
      <c r="G689" s="111"/>
      <c r="H689" s="112"/>
    </row>
    <row r="690">
      <c r="B690" s="110"/>
      <c r="C690" s="104"/>
      <c r="D690" s="105"/>
      <c r="E690" s="109"/>
      <c r="F690" s="108"/>
      <c r="G690" s="111"/>
      <c r="H690" s="112"/>
    </row>
    <row r="691">
      <c r="B691" s="110"/>
      <c r="C691" s="104"/>
      <c r="D691" s="105"/>
      <c r="E691" s="109"/>
      <c r="F691" s="108"/>
      <c r="G691" s="111"/>
      <c r="H691" s="112"/>
    </row>
    <row r="692">
      <c r="B692" s="110"/>
      <c r="C692" s="104"/>
      <c r="D692" s="105"/>
      <c r="E692" s="109"/>
      <c r="F692" s="108"/>
      <c r="G692" s="111"/>
      <c r="H692" s="112"/>
    </row>
    <row r="693">
      <c r="B693" s="110"/>
      <c r="C693" s="104"/>
      <c r="D693" s="105"/>
      <c r="E693" s="109"/>
      <c r="F693" s="108"/>
      <c r="G693" s="111"/>
      <c r="H693" s="112"/>
    </row>
    <row r="694">
      <c r="B694" s="110"/>
      <c r="C694" s="104"/>
      <c r="D694" s="105"/>
      <c r="E694" s="109"/>
      <c r="F694" s="108"/>
      <c r="G694" s="111"/>
      <c r="H694" s="112"/>
    </row>
    <row r="695">
      <c r="B695" s="110"/>
      <c r="C695" s="104"/>
      <c r="D695" s="105"/>
      <c r="E695" s="109"/>
      <c r="F695" s="108"/>
      <c r="G695" s="111"/>
      <c r="H695" s="112"/>
    </row>
    <row r="696">
      <c r="B696" s="110"/>
      <c r="C696" s="104"/>
      <c r="D696" s="105"/>
      <c r="E696" s="109"/>
      <c r="F696" s="108"/>
      <c r="G696" s="111"/>
      <c r="H696" s="112"/>
    </row>
    <row r="697">
      <c r="B697" s="110"/>
      <c r="C697" s="104"/>
      <c r="D697" s="105"/>
      <c r="E697" s="109"/>
      <c r="F697" s="108"/>
      <c r="G697" s="111"/>
      <c r="H697" s="112"/>
    </row>
    <row r="698">
      <c r="B698" s="110"/>
      <c r="C698" s="104"/>
      <c r="D698" s="105"/>
      <c r="E698" s="109"/>
      <c r="F698" s="108"/>
      <c r="G698" s="111"/>
      <c r="H698" s="112"/>
    </row>
    <row r="699">
      <c r="B699" s="110"/>
      <c r="C699" s="104"/>
      <c r="D699" s="105"/>
      <c r="E699" s="109"/>
      <c r="F699" s="108"/>
      <c r="G699" s="111"/>
      <c r="H699" s="112"/>
    </row>
    <row r="700">
      <c r="B700" s="110"/>
      <c r="C700" s="104"/>
      <c r="D700" s="105"/>
      <c r="E700" s="109"/>
      <c r="F700" s="108"/>
      <c r="G700" s="111"/>
      <c r="H700" s="112"/>
    </row>
    <row r="701">
      <c r="B701" s="110"/>
      <c r="C701" s="104"/>
      <c r="D701" s="105"/>
      <c r="E701" s="109"/>
      <c r="F701" s="108"/>
      <c r="G701" s="111"/>
      <c r="H701" s="112"/>
    </row>
    <row r="702">
      <c r="B702" s="110"/>
      <c r="C702" s="104"/>
      <c r="D702" s="105"/>
      <c r="E702" s="109"/>
      <c r="F702" s="108"/>
      <c r="G702" s="111"/>
      <c r="H702" s="112"/>
    </row>
    <row r="703">
      <c r="B703" s="110"/>
      <c r="C703" s="104"/>
      <c r="D703" s="105"/>
      <c r="E703" s="109"/>
      <c r="F703" s="108"/>
      <c r="G703" s="111"/>
      <c r="H703" s="112"/>
    </row>
    <row r="704">
      <c r="B704" s="110"/>
      <c r="C704" s="104"/>
      <c r="D704" s="105"/>
      <c r="E704" s="109"/>
      <c r="F704" s="108"/>
      <c r="G704" s="111"/>
      <c r="H704" s="112"/>
    </row>
    <row r="705">
      <c r="B705" s="110"/>
      <c r="C705" s="104"/>
      <c r="D705" s="105"/>
      <c r="E705" s="109"/>
      <c r="F705" s="108"/>
      <c r="G705" s="111"/>
      <c r="H705" s="112"/>
    </row>
    <row r="706">
      <c r="B706" s="110"/>
      <c r="C706" s="104"/>
      <c r="D706" s="105"/>
      <c r="E706" s="109"/>
      <c r="F706" s="108"/>
      <c r="G706" s="111"/>
      <c r="H706" s="112"/>
    </row>
    <row r="707">
      <c r="B707" s="110"/>
      <c r="C707" s="104"/>
      <c r="D707" s="105"/>
      <c r="E707" s="109"/>
      <c r="F707" s="108"/>
      <c r="G707" s="111"/>
      <c r="H707" s="112"/>
    </row>
    <row r="708">
      <c r="B708" s="110"/>
      <c r="C708" s="104"/>
      <c r="D708" s="105"/>
      <c r="E708" s="109"/>
      <c r="F708" s="108"/>
      <c r="G708" s="111"/>
      <c r="H708" s="112"/>
    </row>
    <row r="709">
      <c r="B709" s="110"/>
      <c r="C709" s="104"/>
      <c r="D709" s="105"/>
      <c r="E709" s="109"/>
      <c r="F709" s="108"/>
      <c r="G709" s="111"/>
      <c r="H709" s="112"/>
    </row>
    <row r="710">
      <c r="B710" s="110"/>
      <c r="C710" s="104"/>
      <c r="D710" s="105"/>
      <c r="E710" s="109"/>
      <c r="F710" s="108"/>
      <c r="G710" s="111"/>
      <c r="H710" s="112"/>
    </row>
    <row r="711">
      <c r="B711" s="110"/>
      <c r="C711" s="104"/>
      <c r="D711" s="105"/>
      <c r="E711" s="109"/>
      <c r="F711" s="108"/>
      <c r="G711" s="111"/>
      <c r="H711" s="112"/>
    </row>
    <row r="712">
      <c r="B712" s="110"/>
      <c r="C712" s="104"/>
      <c r="D712" s="105"/>
      <c r="E712" s="109"/>
      <c r="F712" s="108"/>
      <c r="G712" s="111"/>
      <c r="H712" s="112"/>
    </row>
    <row r="713">
      <c r="B713" s="110"/>
      <c r="C713" s="104"/>
      <c r="D713" s="105"/>
      <c r="E713" s="109"/>
      <c r="F713" s="108"/>
      <c r="G713" s="111"/>
      <c r="H713" s="112"/>
    </row>
    <row r="714">
      <c r="B714" s="110"/>
      <c r="C714" s="104"/>
      <c r="D714" s="105"/>
      <c r="E714" s="109"/>
      <c r="F714" s="108"/>
      <c r="G714" s="111"/>
      <c r="H714" s="112"/>
    </row>
    <row r="715">
      <c r="B715" s="110"/>
      <c r="C715" s="104"/>
      <c r="D715" s="105"/>
      <c r="E715" s="109"/>
      <c r="F715" s="108"/>
      <c r="G715" s="111"/>
      <c r="H715" s="112"/>
    </row>
    <row r="716">
      <c r="B716" s="110"/>
      <c r="C716" s="104"/>
      <c r="D716" s="105"/>
      <c r="E716" s="109"/>
      <c r="F716" s="108"/>
      <c r="G716" s="111"/>
      <c r="H716" s="112"/>
    </row>
    <row r="717">
      <c r="B717" s="110"/>
      <c r="C717" s="104"/>
      <c r="D717" s="105"/>
      <c r="E717" s="109"/>
      <c r="F717" s="108"/>
      <c r="G717" s="111"/>
      <c r="H717" s="112"/>
    </row>
    <row r="718">
      <c r="B718" s="110"/>
      <c r="C718" s="104"/>
      <c r="D718" s="105"/>
      <c r="E718" s="109"/>
      <c r="F718" s="108"/>
      <c r="G718" s="111"/>
      <c r="H718" s="112"/>
    </row>
    <row r="719">
      <c r="B719" s="110"/>
      <c r="C719" s="104"/>
      <c r="D719" s="105"/>
      <c r="E719" s="109"/>
      <c r="F719" s="108"/>
      <c r="G719" s="111"/>
      <c r="H719" s="112"/>
    </row>
    <row r="720">
      <c r="B720" s="110"/>
      <c r="C720" s="104"/>
      <c r="D720" s="105"/>
      <c r="E720" s="109"/>
      <c r="F720" s="108"/>
      <c r="G720" s="111"/>
      <c r="H720" s="112"/>
    </row>
    <row r="721">
      <c r="B721" s="110"/>
      <c r="C721" s="104"/>
      <c r="D721" s="105"/>
      <c r="E721" s="109"/>
      <c r="F721" s="108"/>
      <c r="G721" s="111"/>
      <c r="H721" s="112"/>
    </row>
    <row r="722">
      <c r="B722" s="110"/>
      <c r="C722" s="104"/>
      <c r="D722" s="105"/>
      <c r="E722" s="109"/>
      <c r="F722" s="108"/>
      <c r="G722" s="111"/>
      <c r="H722" s="112"/>
    </row>
    <row r="723">
      <c r="B723" s="110"/>
      <c r="C723" s="104"/>
      <c r="D723" s="105"/>
      <c r="E723" s="109"/>
      <c r="F723" s="108"/>
      <c r="G723" s="111"/>
      <c r="H723" s="112"/>
    </row>
    <row r="724">
      <c r="B724" s="110"/>
      <c r="C724" s="104"/>
      <c r="D724" s="105"/>
      <c r="E724" s="109"/>
      <c r="F724" s="108"/>
      <c r="G724" s="111"/>
      <c r="H724" s="112"/>
    </row>
    <row r="725">
      <c r="B725" s="110"/>
      <c r="C725" s="104"/>
      <c r="D725" s="105"/>
      <c r="E725" s="109"/>
      <c r="F725" s="108"/>
      <c r="G725" s="111"/>
      <c r="H725" s="112"/>
    </row>
    <row r="726">
      <c r="B726" s="110"/>
      <c r="C726" s="104"/>
      <c r="D726" s="105"/>
      <c r="E726" s="109"/>
      <c r="F726" s="108"/>
      <c r="G726" s="111"/>
      <c r="H726" s="112"/>
    </row>
    <row r="727">
      <c r="B727" s="110"/>
      <c r="C727" s="104"/>
      <c r="D727" s="105"/>
      <c r="E727" s="109"/>
      <c r="F727" s="108"/>
      <c r="G727" s="111"/>
      <c r="H727" s="112"/>
    </row>
    <row r="728">
      <c r="B728" s="110"/>
      <c r="C728" s="104"/>
      <c r="D728" s="105"/>
      <c r="E728" s="109"/>
      <c r="F728" s="108"/>
      <c r="G728" s="111"/>
      <c r="H728" s="112"/>
    </row>
    <row r="729">
      <c r="B729" s="110"/>
      <c r="C729" s="104"/>
      <c r="D729" s="105"/>
      <c r="E729" s="109"/>
      <c r="F729" s="108"/>
      <c r="G729" s="111"/>
      <c r="H729" s="112"/>
    </row>
    <row r="730">
      <c r="B730" s="110"/>
      <c r="C730" s="104"/>
      <c r="D730" s="105"/>
      <c r="E730" s="109"/>
      <c r="F730" s="108"/>
      <c r="G730" s="111"/>
      <c r="H730" s="112"/>
    </row>
    <row r="731">
      <c r="B731" s="110"/>
      <c r="C731" s="104"/>
      <c r="D731" s="105"/>
      <c r="E731" s="109"/>
      <c r="F731" s="108"/>
      <c r="G731" s="111"/>
      <c r="H731" s="112"/>
    </row>
    <row r="732">
      <c r="B732" s="110"/>
      <c r="C732" s="104"/>
      <c r="D732" s="105"/>
      <c r="E732" s="109"/>
      <c r="F732" s="108"/>
      <c r="G732" s="111"/>
      <c r="H732" s="112"/>
    </row>
    <row r="733">
      <c r="B733" s="110"/>
      <c r="C733" s="104"/>
      <c r="D733" s="105"/>
      <c r="E733" s="109"/>
      <c r="F733" s="108"/>
      <c r="G733" s="111"/>
      <c r="H733" s="112"/>
    </row>
    <row r="734">
      <c r="B734" s="110"/>
      <c r="C734" s="104"/>
      <c r="D734" s="105"/>
      <c r="E734" s="109"/>
      <c r="F734" s="108"/>
      <c r="G734" s="111"/>
      <c r="H734" s="112"/>
    </row>
    <row r="735">
      <c r="B735" s="110"/>
      <c r="C735" s="104"/>
      <c r="D735" s="105"/>
      <c r="E735" s="109"/>
      <c r="F735" s="108"/>
      <c r="G735" s="111"/>
      <c r="H735" s="112"/>
    </row>
    <row r="736">
      <c r="B736" s="110"/>
      <c r="C736" s="104"/>
      <c r="D736" s="105"/>
      <c r="E736" s="109"/>
      <c r="F736" s="108"/>
      <c r="G736" s="111"/>
      <c r="H736" s="112"/>
    </row>
    <row r="737">
      <c r="B737" s="110"/>
      <c r="C737" s="104"/>
      <c r="D737" s="105"/>
      <c r="E737" s="109"/>
      <c r="F737" s="108"/>
      <c r="G737" s="111"/>
      <c r="H737" s="112"/>
    </row>
    <row r="738">
      <c r="B738" s="110"/>
      <c r="C738" s="104"/>
      <c r="D738" s="105"/>
      <c r="E738" s="109"/>
      <c r="F738" s="108"/>
      <c r="G738" s="111"/>
      <c r="H738" s="112"/>
    </row>
    <row r="739">
      <c r="B739" s="110"/>
      <c r="C739" s="104"/>
      <c r="D739" s="105"/>
      <c r="E739" s="109"/>
      <c r="F739" s="108"/>
      <c r="G739" s="111"/>
      <c r="H739" s="112"/>
    </row>
    <row r="740">
      <c r="B740" s="110"/>
      <c r="C740" s="104"/>
      <c r="D740" s="105"/>
      <c r="E740" s="109"/>
      <c r="F740" s="108"/>
      <c r="G740" s="111"/>
      <c r="H740" s="112"/>
    </row>
    <row r="741">
      <c r="B741" s="110"/>
      <c r="C741" s="104"/>
      <c r="D741" s="105"/>
      <c r="E741" s="109"/>
      <c r="F741" s="108"/>
      <c r="G741" s="111"/>
      <c r="H741" s="112"/>
    </row>
    <row r="742">
      <c r="B742" s="110"/>
      <c r="C742" s="104"/>
      <c r="D742" s="105"/>
      <c r="E742" s="109"/>
      <c r="F742" s="108"/>
      <c r="G742" s="111"/>
      <c r="H742" s="112"/>
    </row>
    <row r="743">
      <c r="B743" s="110"/>
      <c r="C743" s="104"/>
      <c r="D743" s="105"/>
      <c r="E743" s="109"/>
      <c r="F743" s="108"/>
      <c r="G743" s="111"/>
      <c r="H743" s="112"/>
    </row>
    <row r="744">
      <c r="B744" s="110"/>
      <c r="C744" s="104"/>
      <c r="D744" s="105"/>
      <c r="E744" s="109"/>
      <c r="F744" s="108"/>
      <c r="G744" s="111"/>
      <c r="H744" s="112"/>
    </row>
    <row r="745">
      <c r="B745" s="110"/>
      <c r="C745" s="104"/>
      <c r="D745" s="105"/>
      <c r="E745" s="109"/>
      <c r="F745" s="108"/>
      <c r="G745" s="111"/>
      <c r="H745" s="112"/>
    </row>
    <row r="746">
      <c r="B746" s="110"/>
      <c r="C746" s="104"/>
      <c r="D746" s="105"/>
      <c r="E746" s="109"/>
      <c r="F746" s="108"/>
      <c r="G746" s="111"/>
      <c r="H746" s="112"/>
    </row>
    <row r="747">
      <c r="B747" s="110"/>
      <c r="C747" s="104"/>
      <c r="D747" s="105"/>
      <c r="E747" s="109"/>
      <c r="F747" s="108"/>
      <c r="G747" s="111"/>
      <c r="H747" s="112"/>
    </row>
    <row r="748">
      <c r="B748" s="110"/>
      <c r="C748" s="104"/>
      <c r="D748" s="105"/>
      <c r="E748" s="109"/>
      <c r="F748" s="108"/>
      <c r="G748" s="111"/>
      <c r="H748" s="112"/>
    </row>
    <row r="749">
      <c r="B749" s="110"/>
      <c r="C749" s="104"/>
      <c r="D749" s="105"/>
      <c r="E749" s="109"/>
      <c r="F749" s="108"/>
      <c r="G749" s="111"/>
      <c r="H749" s="112"/>
    </row>
    <row r="750">
      <c r="B750" s="110"/>
      <c r="C750" s="104"/>
      <c r="D750" s="105"/>
      <c r="E750" s="109"/>
      <c r="F750" s="108"/>
      <c r="G750" s="111"/>
      <c r="H750" s="112"/>
    </row>
    <row r="751">
      <c r="B751" s="110"/>
      <c r="C751" s="104"/>
      <c r="D751" s="105"/>
      <c r="E751" s="109"/>
      <c r="F751" s="108"/>
      <c r="G751" s="111"/>
      <c r="H751" s="112"/>
    </row>
    <row r="752">
      <c r="B752" s="110"/>
      <c r="C752" s="104"/>
      <c r="D752" s="105"/>
      <c r="E752" s="109"/>
      <c r="F752" s="108"/>
      <c r="G752" s="111"/>
      <c r="H752" s="112"/>
    </row>
    <row r="753">
      <c r="B753" s="110"/>
      <c r="C753" s="104"/>
      <c r="D753" s="105"/>
      <c r="E753" s="109"/>
      <c r="F753" s="108"/>
      <c r="G753" s="111"/>
      <c r="H753" s="112"/>
    </row>
    <row r="754">
      <c r="B754" s="110"/>
      <c r="C754" s="104"/>
      <c r="D754" s="105"/>
      <c r="E754" s="109"/>
      <c r="F754" s="108"/>
      <c r="G754" s="111"/>
      <c r="H754" s="112"/>
    </row>
    <row r="755">
      <c r="B755" s="110"/>
      <c r="C755" s="104"/>
      <c r="D755" s="105"/>
      <c r="E755" s="109"/>
      <c r="F755" s="108"/>
      <c r="G755" s="111"/>
      <c r="H755" s="112"/>
    </row>
    <row r="756">
      <c r="B756" s="110"/>
      <c r="C756" s="104"/>
      <c r="D756" s="105"/>
      <c r="E756" s="109"/>
      <c r="F756" s="108"/>
      <c r="G756" s="111"/>
      <c r="H756" s="112"/>
    </row>
    <row r="757">
      <c r="B757" s="110"/>
      <c r="C757" s="104"/>
      <c r="D757" s="105"/>
      <c r="E757" s="109"/>
      <c r="F757" s="108"/>
      <c r="G757" s="111"/>
      <c r="H757" s="112"/>
    </row>
    <row r="758">
      <c r="B758" s="110"/>
      <c r="C758" s="104"/>
      <c r="D758" s="105"/>
      <c r="E758" s="109"/>
      <c r="F758" s="108"/>
      <c r="G758" s="111"/>
      <c r="H758" s="112"/>
    </row>
    <row r="759">
      <c r="B759" s="110"/>
      <c r="C759" s="104"/>
      <c r="D759" s="105"/>
      <c r="E759" s="109"/>
      <c r="F759" s="108"/>
      <c r="G759" s="111"/>
      <c r="H759" s="112"/>
    </row>
    <row r="760">
      <c r="B760" s="110"/>
      <c r="C760" s="104"/>
      <c r="D760" s="105"/>
      <c r="E760" s="109"/>
      <c r="F760" s="108"/>
      <c r="G760" s="111"/>
      <c r="H760" s="112"/>
    </row>
    <row r="761">
      <c r="B761" s="110"/>
      <c r="C761" s="104"/>
      <c r="D761" s="105"/>
      <c r="E761" s="109"/>
      <c r="F761" s="108"/>
      <c r="G761" s="111"/>
      <c r="H761" s="112"/>
    </row>
    <row r="762">
      <c r="B762" s="110"/>
      <c r="C762" s="104"/>
      <c r="D762" s="105"/>
      <c r="E762" s="109"/>
      <c r="F762" s="108"/>
      <c r="G762" s="111"/>
      <c r="H762" s="112"/>
    </row>
    <row r="763">
      <c r="B763" s="110"/>
      <c r="C763" s="104"/>
      <c r="D763" s="105"/>
      <c r="E763" s="109"/>
      <c r="F763" s="108"/>
      <c r="G763" s="111"/>
      <c r="H763" s="112"/>
    </row>
    <row r="764">
      <c r="B764" s="110"/>
      <c r="C764" s="104"/>
      <c r="D764" s="105"/>
      <c r="E764" s="109"/>
      <c r="F764" s="108"/>
      <c r="G764" s="111"/>
      <c r="H764" s="112"/>
    </row>
    <row r="765">
      <c r="B765" s="110"/>
      <c r="C765" s="104"/>
      <c r="D765" s="105"/>
      <c r="E765" s="109"/>
      <c r="F765" s="108"/>
      <c r="G765" s="111"/>
      <c r="H765" s="112"/>
    </row>
    <row r="766">
      <c r="B766" s="110"/>
      <c r="C766" s="104"/>
      <c r="D766" s="105"/>
      <c r="E766" s="109"/>
      <c r="F766" s="108"/>
      <c r="G766" s="111"/>
      <c r="H766" s="112"/>
    </row>
    <row r="767">
      <c r="B767" s="110"/>
      <c r="C767" s="104"/>
      <c r="D767" s="105"/>
      <c r="E767" s="109"/>
      <c r="F767" s="108"/>
      <c r="G767" s="111"/>
      <c r="H767" s="112"/>
    </row>
    <row r="768">
      <c r="B768" s="110"/>
      <c r="C768" s="104"/>
      <c r="D768" s="105"/>
      <c r="E768" s="109"/>
      <c r="F768" s="108"/>
      <c r="G768" s="111"/>
      <c r="H768" s="112"/>
    </row>
    <row r="769">
      <c r="B769" s="110"/>
      <c r="C769" s="104"/>
      <c r="D769" s="105"/>
      <c r="E769" s="109"/>
      <c r="F769" s="108"/>
      <c r="G769" s="111"/>
      <c r="H769" s="112"/>
    </row>
    <row r="770">
      <c r="B770" s="110"/>
      <c r="C770" s="104"/>
      <c r="D770" s="105"/>
      <c r="E770" s="109"/>
      <c r="F770" s="108"/>
      <c r="G770" s="111"/>
      <c r="H770" s="112"/>
    </row>
    <row r="771">
      <c r="B771" s="110"/>
      <c r="C771" s="104"/>
      <c r="D771" s="105"/>
      <c r="E771" s="109"/>
      <c r="F771" s="108"/>
      <c r="G771" s="111"/>
      <c r="H771" s="112"/>
    </row>
    <row r="772">
      <c r="B772" s="110"/>
      <c r="C772" s="104"/>
      <c r="D772" s="105"/>
      <c r="E772" s="109"/>
      <c r="F772" s="108"/>
      <c r="G772" s="111"/>
      <c r="H772" s="112"/>
    </row>
    <row r="773">
      <c r="B773" s="110"/>
      <c r="C773" s="104"/>
      <c r="D773" s="105"/>
      <c r="E773" s="109"/>
      <c r="F773" s="108"/>
      <c r="G773" s="111"/>
      <c r="H773" s="112"/>
    </row>
    <row r="774">
      <c r="B774" s="110"/>
      <c r="C774" s="104"/>
      <c r="D774" s="105"/>
      <c r="E774" s="109"/>
      <c r="F774" s="108"/>
      <c r="G774" s="111"/>
      <c r="H774" s="112"/>
    </row>
    <row r="775">
      <c r="B775" s="110"/>
      <c r="C775" s="104"/>
      <c r="D775" s="105"/>
      <c r="E775" s="109"/>
      <c r="F775" s="108"/>
      <c r="G775" s="111"/>
      <c r="H775" s="112"/>
    </row>
    <row r="776">
      <c r="B776" s="110"/>
      <c r="C776" s="104"/>
      <c r="D776" s="105"/>
      <c r="E776" s="109"/>
      <c r="F776" s="108"/>
      <c r="G776" s="111"/>
      <c r="H776" s="112"/>
    </row>
    <row r="777">
      <c r="B777" s="110"/>
      <c r="C777" s="104"/>
      <c r="D777" s="105"/>
      <c r="E777" s="109"/>
      <c r="F777" s="108"/>
      <c r="G777" s="111"/>
      <c r="H777" s="112"/>
    </row>
    <row r="778">
      <c r="B778" s="110"/>
      <c r="C778" s="104"/>
      <c r="D778" s="105"/>
      <c r="E778" s="109"/>
      <c r="F778" s="108"/>
      <c r="G778" s="111"/>
      <c r="H778" s="112"/>
    </row>
    <row r="779">
      <c r="B779" s="110"/>
      <c r="C779" s="104"/>
      <c r="D779" s="105"/>
      <c r="E779" s="109"/>
      <c r="F779" s="108"/>
      <c r="G779" s="111"/>
      <c r="H779" s="112"/>
    </row>
    <row r="780">
      <c r="B780" s="110"/>
      <c r="C780" s="104"/>
      <c r="D780" s="105"/>
      <c r="E780" s="109"/>
      <c r="F780" s="108"/>
      <c r="G780" s="111"/>
      <c r="H780" s="112"/>
    </row>
    <row r="781">
      <c r="B781" s="110"/>
      <c r="C781" s="104"/>
      <c r="D781" s="105"/>
      <c r="E781" s="109"/>
      <c r="F781" s="108"/>
      <c r="G781" s="111"/>
      <c r="H781" s="112"/>
    </row>
    <row r="782">
      <c r="B782" s="110"/>
      <c r="C782" s="104"/>
      <c r="D782" s="105"/>
      <c r="E782" s="109"/>
      <c r="F782" s="108"/>
      <c r="G782" s="111"/>
      <c r="H782" s="112"/>
    </row>
    <row r="783">
      <c r="B783" s="110"/>
      <c r="C783" s="104"/>
      <c r="D783" s="105"/>
      <c r="E783" s="109"/>
      <c r="F783" s="108"/>
      <c r="G783" s="111"/>
      <c r="H783" s="112"/>
    </row>
    <row r="784">
      <c r="B784" s="110"/>
      <c r="C784" s="104"/>
      <c r="D784" s="105"/>
      <c r="E784" s="109"/>
      <c r="F784" s="108"/>
      <c r="G784" s="111"/>
      <c r="H784" s="112"/>
    </row>
    <row r="785">
      <c r="B785" s="110"/>
      <c r="C785" s="104"/>
      <c r="D785" s="105"/>
      <c r="E785" s="109"/>
      <c r="F785" s="108"/>
      <c r="G785" s="111"/>
      <c r="H785" s="112"/>
    </row>
    <row r="786">
      <c r="B786" s="110"/>
      <c r="C786" s="104"/>
      <c r="D786" s="105"/>
      <c r="E786" s="109"/>
      <c r="F786" s="108"/>
      <c r="G786" s="111"/>
      <c r="H786" s="112"/>
    </row>
    <row r="787">
      <c r="B787" s="110"/>
      <c r="C787" s="104"/>
      <c r="D787" s="105"/>
      <c r="E787" s="109"/>
      <c r="F787" s="108"/>
      <c r="G787" s="111"/>
      <c r="H787" s="112"/>
    </row>
    <row r="788">
      <c r="B788" s="110"/>
      <c r="C788" s="104"/>
      <c r="D788" s="105"/>
      <c r="E788" s="109"/>
      <c r="F788" s="108"/>
      <c r="G788" s="111"/>
      <c r="H788" s="112"/>
    </row>
    <row r="789">
      <c r="B789" s="110"/>
      <c r="C789" s="104"/>
      <c r="D789" s="105"/>
      <c r="E789" s="109"/>
      <c r="F789" s="108"/>
      <c r="G789" s="111"/>
      <c r="H789" s="112"/>
    </row>
    <row r="790">
      <c r="B790" s="110"/>
      <c r="C790" s="104"/>
      <c r="D790" s="105"/>
      <c r="E790" s="109"/>
      <c r="F790" s="108"/>
      <c r="G790" s="111"/>
      <c r="H790" s="112"/>
    </row>
    <row r="791">
      <c r="B791" s="110"/>
      <c r="C791" s="104"/>
      <c r="D791" s="105"/>
      <c r="E791" s="109"/>
      <c r="F791" s="108"/>
      <c r="G791" s="111"/>
      <c r="H791" s="112"/>
    </row>
    <row r="792">
      <c r="B792" s="110"/>
      <c r="C792" s="104"/>
      <c r="D792" s="105"/>
      <c r="E792" s="109"/>
      <c r="F792" s="108"/>
      <c r="G792" s="111"/>
      <c r="H792" s="112"/>
    </row>
    <row r="793">
      <c r="B793" s="110"/>
      <c r="C793" s="104"/>
      <c r="D793" s="105"/>
      <c r="E793" s="109"/>
      <c r="F793" s="108"/>
      <c r="G793" s="111"/>
      <c r="H793" s="112"/>
    </row>
    <row r="794">
      <c r="B794" s="110"/>
      <c r="C794" s="104"/>
      <c r="D794" s="105"/>
      <c r="E794" s="109"/>
      <c r="F794" s="108"/>
      <c r="G794" s="111"/>
      <c r="H794" s="112"/>
    </row>
    <row r="795">
      <c r="B795" s="110"/>
      <c r="C795" s="104"/>
      <c r="D795" s="105"/>
      <c r="E795" s="109"/>
      <c r="F795" s="108"/>
      <c r="G795" s="111"/>
      <c r="H795" s="112"/>
    </row>
    <row r="796">
      <c r="B796" s="110"/>
      <c r="C796" s="104"/>
      <c r="D796" s="105"/>
      <c r="E796" s="109"/>
      <c r="F796" s="108"/>
      <c r="G796" s="111"/>
      <c r="H796" s="112"/>
    </row>
    <row r="797">
      <c r="B797" s="110"/>
      <c r="C797" s="104"/>
      <c r="D797" s="105"/>
      <c r="E797" s="109"/>
      <c r="F797" s="108"/>
      <c r="G797" s="111"/>
      <c r="H797" s="112"/>
    </row>
    <row r="798">
      <c r="B798" s="110"/>
      <c r="C798" s="104"/>
      <c r="D798" s="105"/>
      <c r="E798" s="109"/>
      <c r="F798" s="108"/>
      <c r="G798" s="111"/>
      <c r="H798" s="112"/>
    </row>
    <row r="799">
      <c r="B799" s="110"/>
      <c r="C799" s="104"/>
      <c r="D799" s="105"/>
      <c r="E799" s="109"/>
      <c r="F799" s="108"/>
      <c r="G799" s="111"/>
      <c r="H799" s="112"/>
    </row>
    <row r="800">
      <c r="B800" s="110"/>
      <c r="C800" s="104"/>
      <c r="D800" s="105"/>
      <c r="E800" s="109"/>
      <c r="F800" s="108"/>
      <c r="G800" s="111"/>
      <c r="H800" s="112"/>
    </row>
    <row r="801">
      <c r="B801" s="110"/>
      <c r="C801" s="104"/>
      <c r="D801" s="105"/>
      <c r="E801" s="109"/>
      <c r="F801" s="108"/>
      <c r="G801" s="111"/>
      <c r="H801" s="112"/>
    </row>
    <row r="802">
      <c r="B802" s="110"/>
      <c r="C802" s="104"/>
      <c r="D802" s="105"/>
      <c r="E802" s="109"/>
      <c r="F802" s="108"/>
      <c r="G802" s="111"/>
      <c r="H802" s="112"/>
    </row>
    <row r="803">
      <c r="B803" s="110"/>
      <c r="C803" s="104"/>
      <c r="D803" s="105"/>
      <c r="E803" s="109"/>
      <c r="F803" s="108"/>
      <c r="G803" s="111"/>
      <c r="H803" s="112"/>
    </row>
    <row r="804">
      <c r="B804" s="110"/>
      <c r="C804" s="104"/>
      <c r="D804" s="105"/>
      <c r="E804" s="109"/>
      <c r="F804" s="108"/>
      <c r="G804" s="111"/>
      <c r="H804" s="112"/>
    </row>
    <row r="805">
      <c r="B805" s="110"/>
      <c r="C805" s="104"/>
      <c r="D805" s="105"/>
      <c r="E805" s="109"/>
      <c r="F805" s="108"/>
      <c r="G805" s="111"/>
      <c r="H805" s="112"/>
    </row>
    <row r="806">
      <c r="B806" s="110"/>
      <c r="C806" s="104"/>
      <c r="D806" s="105"/>
      <c r="E806" s="109"/>
      <c r="F806" s="108"/>
      <c r="G806" s="111"/>
      <c r="H806" s="112"/>
    </row>
    <row r="807">
      <c r="B807" s="110"/>
      <c r="C807" s="104"/>
      <c r="D807" s="105"/>
      <c r="E807" s="109"/>
      <c r="F807" s="108"/>
      <c r="G807" s="111"/>
      <c r="H807" s="112"/>
    </row>
    <row r="808">
      <c r="B808" s="110"/>
      <c r="C808" s="104"/>
      <c r="D808" s="105"/>
      <c r="E808" s="109"/>
      <c r="F808" s="108"/>
      <c r="G808" s="111"/>
      <c r="H808" s="112"/>
    </row>
    <row r="809">
      <c r="B809" s="110"/>
      <c r="C809" s="104"/>
      <c r="D809" s="105"/>
      <c r="E809" s="109"/>
      <c r="F809" s="108"/>
      <c r="G809" s="111"/>
      <c r="H809" s="112"/>
    </row>
    <row r="810">
      <c r="B810" s="110"/>
      <c r="C810" s="104"/>
      <c r="D810" s="105"/>
      <c r="E810" s="109"/>
      <c r="F810" s="108"/>
      <c r="G810" s="111"/>
      <c r="H810" s="112"/>
    </row>
    <row r="811">
      <c r="B811" s="110"/>
      <c r="C811" s="104"/>
      <c r="D811" s="105"/>
      <c r="E811" s="109"/>
      <c r="F811" s="108"/>
      <c r="G811" s="111"/>
      <c r="H811" s="112"/>
    </row>
    <row r="812">
      <c r="B812" s="110"/>
      <c r="C812" s="104"/>
      <c r="D812" s="105"/>
      <c r="E812" s="109"/>
      <c r="F812" s="108"/>
      <c r="G812" s="111"/>
      <c r="H812" s="112"/>
    </row>
    <row r="813">
      <c r="B813" s="110"/>
      <c r="C813" s="104"/>
      <c r="D813" s="105"/>
      <c r="E813" s="109"/>
      <c r="F813" s="108"/>
      <c r="G813" s="111"/>
      <c r="H813" s="112"/>
    </row>
    <row r="814">
      <c r="B814" s="110"/>
      <c r="C814" s="104"/>
      <c r="D814" s="105"/>
      <c r="E814" s="109"/>
      <c r="F814" s="108"/>
      <c r="G814" s="111"/>
      <c r="H814" s="112"/>
    </row>
    <row r="815">
      <c r="B815" s="110"/>
      <c r="C815" s="104"/>
      <c r="D815" s="105"/>
      <c r="E815" s="109"/>
      <c r="F815" s="108"/>
      <c r="G815" s="111"/>
      <c r="H815" s="112"/>
    </row>
    <row r="816">
      <c r="B816" s="110"/>
      <c r="C816" s="104"/>
      <c r="D816" s="105"/>
      <c r="E816" s="109"/>
      <c r="F816" s="108"/>
      <c r="G816" s="111"/>
      <c r="H816" s="112"/>
    </row>
    <row r="817">
      <c r="B817" s="110"/>
      <c r="C817" s="104"/>
      <c r="D817" s="105"/>
      <c r="E817" s="109"/>
      <c r="F817" s="108"/>
      <c r="G817" s="111"/>
      <c r="H817" s="112"/>
    </row>
    <row r="818">
      <c r="B818" s="110"/>
      <c r="C818" s="104"/>
      <c r="D818" s="105"/>
      <c r="E818" s="109"/>
      <c r="F818" s="108"/>
      <c r="G818" s="111"/>
      <c r="H818" s="112"/>
    </row>
    <row r="819">
      <c r="B819" s="110"/>
      <c r="C819" s="104"/>
      <c r="D819" s="105"/>
      <c r="E819" s="109"/>
      <c r="F819" s="108"/>
      <c r="G819" s="111"/>
      <c r="H819" s="112"/>
    </row>
    <row r="820">
      <c r="B820" s="110"/>
      <c r="C820" s="104"/>
      <c r="D820" s="105"/>
      <c r="E820" s="109"/>
      <c r="F820" s="108"/>
      <c r="G820" s="111"/>
      <c r="H820" s="112"/>
    </row>
    <row r="821">
      <c r="B821" s="110"/>
      <c r="C821" s="104"/>
      <c r="D821" s="105"/>
      <c r="E821" s="109"/>
      <c r="F821" s="108"/>
      <c r="G821" s="111"/>
      <c r="H821" s="112"/>
    </row>
    <row r="822">
      <c r="B822" s="110"/>
      <c r="C822" s="104"/>
      <c r="D822" s="105"/>
      <c r="E822" s="109"/>
      <c r="F822" s="108"/>
      <c r="G822" s="111"/>
      <c r="H822" s="112"/>
    </row>
    <row r="823">
      <c r="B823" s="110"/>
      <c r="C823" s="104"/>
      <c r="D823" s="105"/>
      <c r="E823" s="109"/>
      <c r="F823" s="108"/>
      <c r="G823" s="111"/>
      <c r="H823" s="112"/>
    </row>
    <row r="824">
      <c r="B824" s="110"/>
      <c r="C824" s="104"/>
      <c r="D824" s="105"/>
      <c r="E824" s="109"/>
      <c r="F824" s="108"/>
      <c r="G824" s="111"/>
      <c r="H824" s="112"/>
    </row>
    <row r="825">
      <c r="B825" s="110"/>
      <c r="C825" s="104"/>
      <c r="D825" s="105"/>
      <c r="E825" s="109"/>
      <c r="F825" s="108"/>
      <c r="G825" s="111"/>
      <c r="H825" s="112"/>
    </row>
    <row r="826">
      <c r="B826" s="110"/>
      <c r="C826" s="104"/>
      <c r="D826" s="105"/>
      <c r="E826" s="109"/>
      <c r="F826" s="108"/>
      <c r="G826" s="111"/>
      <c r="H826" s="112"/>
    </row>
    <row r="827">
      <c r="B827" s="110"/>
      <c r="C827" s="104"/>
      <c r="D827" s="105"/>
      <c r="E827" s="109"/>
      <c r="F827" s="108"/>
      <c r="G827" s="111"/>
      <c r="H827" s="112"/>
    </row>
    <row r="828">
      <c r="B828" s="110"/>
      <c r="C828" s="104"/>
      <c r="D828" s="105"/>
      <c r="E828" s="109"/>
      <c r="F828" s="108"/>
      <c r="G828" s="111"/>
      <c r="H828" s="112"/>
    </row>
    <row r="829">
      <c r="B829" s="110"/>
      <c r="C829" s="104"/>
      <c r="D829" s="105"/>
      <c r="E829" s="109"/>
      <c r="F829" s="108"/>
      <c r="G829" s="111"/>
      <c r="H829" s="112"/>
    </row>
    <row r="830">
      <c r="B830" s="110"/>
      <c r="C830" s="104"/>
      <c r="D830" s="105"/>
      <c r="E830" s="109"/>
      <c r="F830" s="108"/>
      <c r="G830" s="111"/>
      <c r="H830" s="112"/>
    </row>
    <row r="831">
      <c r="B831" s="110"/>
      <c r="C831" s="104"/>
      <c r="D831" s="105"/>
      <c r="E831" s="109"/>
      <c r="F831" s="108"/>
      <c r="G831" s="111"/>
      <c r="H831" s="112"/>
    </row>
    <row r="832">
      <c r="B832" s="110"/>
      <c r="C832" s="104"/>
      <c r="D832" s="105"/>
      <c r="E832" s="109"/>
      <c r="F832" s="108"/>
      <c r="G832" s="111"/>
      <c r="H832" s="112"/>
    </row>
    <row r="833">
      <c r="B833" s="110"/>
      <c r="C833" s="104"/>
      <c r="D833" s="105"/>
      <c r="E833" s="109"/>
      <c r="F833" s="108"/>
      <c r="G833" s="111"/>
      <c r="H833" s="112"/>
    </row>
    <row r="834">
      <c r="B834" s="110"/>
      <c r="C834" s="104"/>
      <c r="D834" s="105"/>
      <c r="E834" s="109"/>
      <c r="F834" s="108"/>
      <c r="G834" s="111"/>
      <c r="H834" s="112"/>
    </row>
    <row r="835">
      <c r="B835" s="110"/>
      <c r="C835" s="104"/>
      <c r="D835" s="105"/>
      <c r="E835" s="109"/>
      <c r="F835" s="108"/>
      <c r="G835" s="111"/>
      <c r="H835" s="112"/>
    </row>
    <row r="836">
      <c r="B836" s="110"/>
      <c r="C836" s="104"/>
      <c r="D836" s="105"/>
      <c r="E836" s="109"/>
      <c r="F836" s="108"/>
      <c r="G836" s="111"/>
      <c r="H836" s="112"/>
    </row>
    <row r="837">
      <c r="B837" s="110"/>
      <c r="C837" s="104"/>
      <c r="D837" s="105"/>
      <c r="E837" s="109"/>
      <c r="F837" s="108"/>
      <c r="G837" s="111"/>
      <c r="H837" s="112"/>
    </row>
    <row r="838">
      <c r="B838" s="110"/>
      <c r="C838" s="104"/>
      <c r="D838" s="105"/>
      <c r="E838" s="109"/>
      <c r="F838" s="108"/>
      <c r="G838" s="111"/>
      <c r="H838" s="112"/>
    </row>
    <row r="839">
      <c r="B839" s="110"/>
      <c r="C839" s="104"/>
      <c r="D839" s="105"/>
      <c r="E839" s="109"/>
      <c r="F839" s="108"/>
      <c r="G839" s="111"/>
      <c r="H839" s="112"/>
    </row>
    <row r="840">
      <c r="B840" s="110"/>
      <c r="C840" s="104"/>
      <c r="D840" s="105"/>
      <c r="E840" s="109"/>
      <c r="F840" s="108"/>
      <c r="G840" s="111"/>
      <c r="H840" s="112"/>
    </row>
    <row r="841">
      <c r="B841" s="110"/>
      <c r="C841" s="104"/>
      <c r="D841" s="105"/>
      <c r="E841" s="109"/>
      <c r="F841" s="108"/>
      <c r="G841" s="111"/>
      <c r="H841" s="112"/>
    </row>
    <row r="842">
      <c r="B842" s="110"/>
      <c r="C842" s="104"/>
      <c r="D842" s="105"/>
      <c r="E842" s="109"/>
      <c r="F842" s="108"/>
      <c r="G842" s="111"/>
      <c r="H842" s="112"/>
    </row>
    <row r="843">
      <c r="B843" s="110"/>
      <c r="C843" s="104"/>
      <c r="D843" s="105"/>
      <c r="E843" s="109"/>
      <c r="F843" s="108"/>
      <c r="G843" s="111"/>
      <c r="H843" s="112"/>
    </row>
    <row r="844">
      <c r="B844" s="110"/>
      <c r="C844" s="104"/>
      <c r="D844" s="105"/>
      <c r="E844" s="109"/>
      <c r="F844" s="108"/>
      <c r="G844" s="111"/>
      <c r="H844" s="112"/>
    </row>
    <row r="845">
      <c r="B845" s="110"/>
      <c r="C845" s="104"/>
      <c r="D845" s="105"/>
      <c r="E845" s="109"/>
      <c r="F845" s="108"/>
      <c r="G845" s="111"/>
      <c r="H845" s="112"/>
    </row>
    <row r="846">
      <c r="B846" s="110"/>
      <c r="C846" s="104"/>
      <c r="D846" s="105"/>
      <c r="E846" s="109"/>
      <c r="F846" s="108"/>
      <c r="G846" s="111"/>
      <c r="H846" s="112"/>
    </row>
    <row r="847">
      <c r="B847" s="110"/>
      <c r="C847" s="104"/>
      <c r="D847" s="105"/>
      <c r="E847" s="109"/>
      <c r="F847" s="108"/>
      <c r="G847" s="111"/>
      <c r="H847" s="112"/>
    </row>
    <row r="848">
      <c r="B848" s="110"/>
      <c r="C848" s="104"/>
      <c r="D848" s="105"/>
      <c r="E848" s="109"/>
      <c r="F848" s="108"/>
      <c r="G848" s="111"/>
      <c r="H848" s="112"/>
    </row>
    <row r="849">
      <c r="B849" s="110"/>
      <c r="C849" s="104"/>
      <c r="D849" s="105"/>
      <c r="E849" s="109"/>
      <c r="F849" s="108"/>
      <c r="G849" s="111"/>
      <c r="H849" s="112"/>
    </row>
    <row r="850">
      <c r="B850" s="110"/>
      <c r="C850" s="104"/>
      <c r="D850" s="105"/>
      <c r="E850" s="109"/>
      <c r="F850" s="108"/>
      <c r="G850" s="111"/>
      <c r="H850" s="112"/>
    </row>
    <row r="851">
      <c r="B851" s="110"/>
      <c r="C851" s="104"/>
      <c r="D851" s="105"/>
      <c r="E851" s="109"/>
      <c r="F851" s="108"/>
      <c r="G851" s="111"/>
      <c r="H851" s="112"/>
    </row>
    <row r="852">
      <c r="B852" s="110"/>
      <c r="C852" s="104"/>
      <c r="D852" s="105"/>
      <c r="E852" s="109"/>
      <c r="F852" s="108"/>
      <c r="G852" s="111"/>
      <c r="H852" s="112"/>
    </row>
    <row r="853">
      <c r="B853" s="110"/>
      <c r="C853" s="104"/>
      <c r="D853" s="105"/>
      <c r="E853" s="109"/>
      <c r="F853" s="108"/>
      <c r="G853" s="111"/>
      <c r="H853" s="112"/>
    </row>
    <row r="854">
      <c r="B854" s="110"/>
      <c r="C854" s="104"/>
      <c r="D854" s="105"/>
      <c r="E854" s="109"/>
      <c r="F854" s="108"/>
      <c r="G854" s="111"/>
      <c r="H854" s="112"/>
    </row>
    <row r="855">
      <c r="B855" s="110"/>
      <c r="C855" s="104"/>
      <c r="D855" s="105"/>
      <c r="E855" s="109"/>
      <c r="F855" s="108"/>
      <c r="G855" s="111"/>
      <c r="H855" s="112"/>
    </row>
    <row r="856">
      <c r="B856" s="110"/>
      <c r="C856" s="104"/>
      <c r="D856" s="105"/>
      <c r="E856" s="109"/>
      <c r="F856" s="108"/>
      <c r="G856" s="111"/>
      <c r="H856" s="112"/>
    </row>
    <row r="857">
      <c r="B857" s="110"/>
      <c r="C857" s="104"/>
      <c r="D857" s="105"/>
      <c r="E857" s="109"/>
      <c r="F857" s="108"/>
      <c r="G857" s="111"/>
      <c r="H857" s="112"/>
    </row>
    <row r="858">
      <c r="B858" s="110"/>
      <c r="C858" s="104"/>
      <c r="D858" s="105"/>
      <c r="E858" s="109"/>
      <c r="F858" s="108"/>
      <c r="G858" s="111"/>
      <c r="H858" s="112"/>
    </row>
    <row r="859">
      <c r="B859" s="110"/>
      <c r="C859" s="104"/>
      <c r="D859" s="105"/>
      <c r="E859" s="109"/>
      <c r="F859" s="108"/>
      <c r="G859" s="111"/>
      <c r="H859" s="112"/>
    </row>
    <row r="860">
      <c r="B860" s="110"/>
      <c r="C860" s="104"/>
      <c r="D860" s="105"/>
      <c r="E860" s="109"/>
      <c r="F860" s="108"/>
      <c r="G860" s="111"/>
      <c r="H860" s="112"/>
    </row>
    <row r="861">
      <c r="B861" s="110"/>
      <c r="C861" s="104"/>
      <c r="D861" s="105"/>
      <c r="E861" s="109"/>
      <c r="F861" s="108"/>
      <c r="G861" s="111"/>
      <c r="H861" s="112"/>
    </row>
    <row r="862">
      <c r="B862" s="110"/>
      <c r="C862" s="104"/>
      <c r="D862" s="105"/>
      <c r="E862" s="109"/>
      <c r="F862" s="108"/>
      <c r="G862" s="111"/>
      <c r="H862" s="112"/>
    </row>
    <row r="863">
      <c r="B863" s="110"/>
      <c r="C863" s="104"/>
      <c r="D863" s="105"/>
      <c r="E863" s="109"/>
      <c r="F863" s="108"/>
      <c r="G863" s="111"/>
      <c r="H863" s="112"/>
    </row>
    <row r="864">
      <c r="B864" s="110"/>
      <c r="C864" s="104"/>
      <c r="D864" s="105"/>
      <c r="E864" s="109"/>
      <c r="F864" s="108"/>
      <c r="G864" s="111"/>
      <c r="H864" s="112"/>
    </row>
    <row r="865">
      <c r="B865" s="110"/>
      <c r="C865" s="104"/>
      <c r="D865" s="105"/>
      <c r="E865" s="109"/>
      <c r="F865" s="108"/>
      <c r="G865" s="111"/>
      <c r="H865" s="112"/>
    </row>
    <row r="866">
      <c r="B866" s="110"/>
      <c r="C866" s="104"/>
      <c r="D866" s="105"/>
      <c r="E866" s="109"/>
      <c r="F866" s="108"/>
      <c r="G866" s="111"/>
      <c r="H866" s="112"/>
    </row>
    <row r="867">
      <c r="B867" s="110"/>
      <c r="C867" s="104"/>
      <c r="D867" s="105"/>
      <c r="E867" s="109"/>
      <c r="F867" s="108"/>
      <c r="G867" s="111"/>
      <c r="H867" s="112"/>
    </row>
    <row r="868">
      <c r="B868" s="110"/>
      <c r="C868" s="104"/>
      <c r="D868" s="105"/>
      <c r="E868" s="109"/>
      <c r="F868" s="108"/>
      <c r="G868" s="111"/>
      <c r="H868" s="112"/>
    </row>
    <row r="869">
      <c r="B869" s="110"/>
      <c r="C869" s="104"/>
      <c r="D869" s="105"/>
      <c r="E869" s="109"/>
      <c r="F869" s="108"/>
      <c r="G869" s="111"/>
      <c r="H869" s="112"/>
    </row>
    <row r="870">
      <c r="B870" s="110"/>
      <c r="C870" s="104"/>
      <c r="D870" s="105"/>
      <c r="E870" s="109"/>
      <c r="F870" s="108"/>
      <c r="G870" s="111"/>
      <c r="H870" s="112"/>
    </row>
    <row r="871">
      <c r="B871" s="110"/>
      <c r="C871" s="104"/>
      <c r="D871" s="105"/>
      <c r="E871" s="109"/>
      <c r="F871" s="108"/>
      <c r="G871" s="111"/>
      <c r="H871" s="112"/>
    </row>
    <row r="872">
      <c r="B872" s="110"/>
      <c r="C872" s="104"/>
      <c r="D872" s="105"/>
      <c r="E872" s="109"/>
      <c r="F872" s="108"/>
      <c r="G872" s="111"/>
      <c r="H872" s="112"/>
    </row>
    <row r="873">
      <c r="B873" s="110"/>
      <c r="C873" s="104"/>
      <c r="D873" s="105"/>
      <c r="E873" s="109"/>
      <c r="F873" s="108"/>
      <c r="G873" s="111"/>
      <c r="H873" s="112"/>
    </row>
    <row r="874">
      <c r="B874" s="110"/>
      <c r="C874" s="104"/>
      <c r="D874" s="105"/>
      <c r="E874" s="109"/>
      <c r="F874" s="108"/>
      <c r="G874" s="111"/>
      <c r="H874" s="112"/>
    </row>
    <row r="875">
      <c r="B875" s="110"/>
      <c r="C875" s="104"/>
      <c r="D875" s="105"/>
      <c r="E875" s="109"/>
      <c r="F875" s="108"/>
      <c r="G875" s="111"/>
      <c r="H875" s="112"/>
    </row>
    <row r="876">
      <c r="B876" s="110"/>
      <c r="C876" s="104"/>
      <c r="D876" s="105"/>
      <c r="E876" s="109"/>
      <c r="F876" s="108"/>
      <c r="G876" s="111"/>
      <c r="H876" s="112"/>
    </row>
    <row r="877">
      <c r="B877" s="110"/>
      <c r="C877" s="104"/>
      <c r="D877" s="105"/>
      <c r="E877" s="109"/>
      <c r="F877" s="108"/>
      <c r="G877" s="111"/>
      <c r="H877" s="112"/>
    </row>
    <row r="878">
      <c r="B878" s="110"/>
      <c r="C878" s="104"/>
      <c r="D878" s="105"/>
      <c r="E878" s="109"/>
      <c r="F878" s="108"/>
      <c r="G878" s="111"/>
      <c r="H878" s="112"/>
    </row>
    <row r="879">
      <c r="B879" s="110"/>
      <c r="C879" s="104"/>
      <c r="D879" s="105"/>
      <c r="E879" s="109"/>
      <c r="F879" s="108"/>
      <c r="G879" s="111"/>
      <c r="H879" s="112"/>
    </row>
    <row r="880">
      <c r="B880" s="110"/>
      <c r="C880" s="104"/>
      <c r="D880" s="105"/>
      <c r="E880" s="109"/>
      <c r="F880" s="108"/>
      <c r="G880" s="111"/>
      <c r="H880" s="112"/>
    </row>
    <row r="881">
      <c r="B881" s="110"/>
      <c r="C881" s="104"/>
      <c r="D881" s="105"/>
      <c r="E881" s="109"/>
      <c r="F881" s="108"/>
      <c r="G881" s="111"/>
      <c r="H881" s="112"/>
    </row>
    <row r="882">
      <c r="B882" s="110"/>
      <c r="C882" s="104"/>
      <c r="D882" s="105"/>
      <c r="E882" s="109"/>
      <c r="F882" s="108"/>
      <c r="G882" s="111"/>
      <c r="H882" s="112"/>
    </row>
    <row r="883">
      <c r="B883" s="110"/>
      <c r="C883" s="104"/>
      <c r="D883" s="105"/>
      <c r="E883" s="109"/>
      <c r="F883" s="108"/>
      <c r="G883" s="111"/>
      <c r="H883" s="112"/>
    </row>
    <row r="884">
      <c r="B884" s="110"/>
      <c r="C884" s="104"/>
      <c r="D884" s="105"/>
      <c r="E884" s="109"/>
      <c r="F884" s="108"/>
      <c r="G884" s="111"/>
      <c r="H884" s="112"/>
    </row>
    <row r="885">
      <c r="B885" s="110"/>
      <c r="C885" s="104"/>
      <c r="D885" s="105"/>
      <c r="E885" s="109"/>
      <c r="F885" s="108"/>
      <c r="G885" s="111"/>
      <c r="H885" s="112"/>
    </row>
    <row r="886">
      <c r="B886" s="110"/>
      <c r="C886" s="104"/>
      <c r="D886" s="105"/>
      <c r="E886" s="109"/>
      <c r="F886" s="108"/>
      <c r="G886" s="111"/>
      <c r="H886" s="112"/>
    </row>
    <row r="887">
      <c r="B887" s="110"/>
      <c r="C887" s="104"/>
      <c r="D887" s="105"/>
      <c r="E887" s="109"/>
      <c r="F887" s="108"/>
      <c r="G887" s="111"/>
      <c r="H887" s="112"/>
    </row>
    <row r="888">
      <c r="B888" s="110"/>
      <c r="C888" s="104"/>
      <c r="D888" s="105"/>
      <c r="E888" s="109"/>
      <c r="F888" s="108"/>
      <c r="G888" s="111"/>
      <c r="H888" s="112"/>
    </row>
    <row r="889">
      <c r="B889" s="110"/>
      <c r="C889" s="104"/>
      <c r="D889" s="105"/>
      <c r="E889" s="109"/>
      <c r="F889" s="108"/>
      <c r="G889" s="111"/>
      <c r="H889" s="112"/>
    </row>
    <row r="890">
      <c r="B890" s="110"/>
      <c r="C890" s="104"/>
      <c r="D890" s="105"/>
      <c r="E890" s="109"/>
      <c r="F890" s="108"/>
      <c r="G890" s="111"/>
      <c r="H890" s="112"/>
    </row>
    <row r="891">
      <c r="B891" s="110"/>
      <c r="C891" s="104"/>
      <c r="D891" s="105"/>
      <c r="E891" s="109"/>
      <c r="F891" s="108"/>
      <c r="G891" s="111"/>
      <c r="H891" s="112"/>
    </row>
    <row r="892">
      <c r="B892" s="110"/>
      <c r="C892" s="104"/>
      <c r="D892" s="105"/>
      <c r="E892" s="109"/>
      <c r="F892" s="108"/>
      <c r="G892" s="111"/>
      <c r="H892" s="112"/>
    </row>
    <row r="893">
      <c r="B893" s="110"/>
      <c r="C893" s="104"/>
      <c r="D893" s="105"/>
      <c r="E893" s="109"/>
      <c r="F893" s="108"/>
      <c r="G893" s="111"/>
      <c r="H893" s="112"/>
    </row>
    <row r="894">
      <c r="B894" s="110"/>
      <c r="C894" s="104"/>
      <c r="D894" s="105"/>
      <c r="E894" s="109"/>
      <c r="F894" s="108"/>
      <c r="G894" s="111"/>
      <c r="H894" s="112"/>
    </row>
    <row r="895">
      <c r="B895" s="110"/>
      <c r="C895" s="104"/>
      <c r="D895" s="105"/>
      <c r="E895" s="109"/>
      <c r="F895" s="108"/>
      <c r="G895" s="111"/>
      <c r="H895" s="112"/>
    </row>
    <row r="896">
      <c r="B896" s="110"/>
      <c r="C896" s="104"/>
      <c r="D896" s="105"/>
      <c r="E896" s="109"/>
      <c r="F896" s="108"/>
      <c r="G896" s="111"/>
      <c r="H896" s="112"/>
    </row>
    <row r="897">
      <c r="B897" s="110"/>
      <c r="C897" s="104"/>
      <c r="D897" s="105"/>
      <c r="E897" s="109"/>
      <c r="F897" s="108"/>
      <c r="G897" s="111"/>
      <c r="H897" s="112"/>
    </row>
    <row r="898">
      <c r="B898" s="110"/>
      <c r="C898" s="104"/>
      <c r="D898" s="105"/>
      <c r="E898" s="109"/>
      <c r="F898" s="108"/>
      <c r="G898" s="111"/>
      <c r="H898" s="112"/>
    </row>
    <row r="899">
      <c r="B899" s="110"/>
      <c r="C899" s="104"/>
      <c r="D899" s="105"/>
      <c r="E899" s="109"/>
      <c r="F899" s="108"/>
      <c r="G899" s="111"/>
      <c r="H899" s="112"/>
    </row>
    <row r="900">
      <c r="B900" s="110"/>
      <c r="C900" s="104"/>
      <c r="D900" s="105"/>
      <c r="E900" s="109"/>
      <c r="F900" s="108"/>
      <c r="G900" s="111"/>
      <c r="H900" s="112"/>
    </row>
    <row r="901">
      <c r="B901" s="110"/>
      <c r="C901" s="104"/>
      <c r="D901" s="105"/>
      <c r="E901" s="109"/>
      <c r="F901" s="108"/>
      <c r="G901" s="111"/>
      <c r="H901" s="112"/>
    </row>
    <row r="902">
      <c r="B902" s="110"/>
      <c r="C902" s="104"/>
      <c r="D902" s="105"/>
      <c r="E902" s="109"/>
      <c r="F902" s="108"/>
      <c r="G902" s="111"/>
      <c r="H902" s="112"/>
    </row>
    <row r="903">
      <c r="B903" s="110"/>
      <c r="C903" s="104"/>
      <c r="D903" s="105"/>
      <c r="E903" s="109"/>
      <c r="F903" s="108"/>
      <c r="G903" s="111"/>
      <c r="H903" s="112"/>
    </row>
    <row r="904">
      <c r="B904" s="110"/>
      <c r="C904" s="104"/>
      <c r="D904" s="105"/>
      <c r="E904" s="109"/>
      <c r="F904" s="108"/>
      <c r="G904" s="111"/>
      <c r="H904" s="112"/>
    </row>
    <row r="905">
      <c r="B905" s="110"/>
      <c r="C905" s="104"/>
      <c r="D905" s="105"/>
      <c r="E905" s="109"/>
      <c r="F905" s="108"/>
      <c r="G905" s="111"/>
      <c r="H905" s="112"/>
    </row>
    <row r="906">
      <c r="B906" s="110"/>
      <c r="C906" s="104"/>
      <c r="D906" s="105"/>
      <c r="E906" s="109"/>
      <c r="F906" s="108"/>
      <c r="G906" s="111"/>
      <c r="H906" s="112"/>
    </row>
    <row r="907">
      <c r="B907" s="110"/>
      <c r="C907" s="104"/>
      <c r="D907" s="105"/>
      <c r="E907" s="109"/>
      <c r="F907" s="108"/>
      <c r="G907" s="111"/>
      <c r="H907" s="112"/>
    </row>
    <row r="908">
      <c r="B908" s="110"/>
      <c r="C908" s="104"/>
      <c r="D908" s="105"/>
      <c r="E908" s="109"/>
      <c r="F908" s="108"/>
      <c r="G908" s="111"/>
      <c r="H908" s="112"/>
    </row>
    <row r="909">
      <c r="B909" s="110"/>
      <c r="C909" s="104"/>
      <c r="D909" s="105"/>
      <c r="E909" s="109"/>
      <c r="F909" s="108"/>
      <c r="G909" s="111"/>
      <c r="H909" s="112"/>
    </row>
    <row r="910">
      <c r="B910" s="110"/>
      <c r="C910" s="104"/>
      <c r="D910" s="105"/>
      <c r="E910" s="109"/>
      <c r="F910" s="108"/>
      <c r="G910" s="111"/>
      <c r="H910" s="112"/>
    </row>
    <row r="911">
      <c r="B911" s="110"/>
      <c r="C911" s="104"/>
      <c r="D911" s="105"/>
      <c r="E911" s="109"/>
      <c r="F911" s="108"/>
      <c r="G911" s="111"/>
      <c r="H911" s="112"/>
    </row>
    <row r="912">
      <c r="B912" s="110"/>
      <c r="C912" s="104"/>
      <c r="D912" s="105"/>
      <c r="E912" s="109"/>
      <c r="F912" s="108"/>
      <c r="G912" s="111"/>
      <c r="H912" s="112"/>
    </row>
    <row r="913">
      <c r="B913" s="110"/>
      <c r="C913" s="104"/>
      <c r="D913" s="105"/>
      <c r="E913" s="109"/>
      <c r="F913" s="108"/>
      <c r="G913" s="111"/>
      <c r="H913" s="112"/>
    </row>
    <row r="914">
      <c r="B914" s="110"/>
      <c r="C914" s="104"/>
      <c r="D914" s="105"/>
      <c r="E914" s="109"/>
      <c r="F914" s="108"/>
      <c r="G914" s="111"/>
      <c r="H914" s="112"/>
    </row>
    <row r="915">
      <c r="B915" s="110"/>
      <c r="C915" s="104"/>
      <c r="D915" s="105"/>
      <c r="E915" s="109"/>
      <c r="F915" s="108"/>
      <c r="G915" s="111"/>
      <c r="H915" s="112"/>
    </row>
    <row r="916">
      <c r="B916" s="110"/>
      <c r="C916" s="104"/>
      <c r="D916" s="105"/>
      <c r="E916" s="109"/>
      <c r="F916" s="108"/>
      <c r="G916" s="111"/>
      <c r="H916" s="112"/>
    </row>
    <row r="917">
      <c r="B917" s="110"/>
      <c r="C917" s="104"/>
      <c r="D917" s="105"/>
      <c r="E917" s="109"/>
      <c r="F917" s="108"/>
      <c r="G917" s="111"/>
      <c r="H917" s="112"/>
    </row>
    <row r="918">
      <c r="B918" s="110"/>
      <c r="C918" s="104"/>
      <c r="D918" s="105"/>
      <c r="E918" s="109"/>
      <c r="F918" s="108"/>
      <c r="G918" s="111"/>
      <c r="H918" s="112"/>
    </row>
    <row r="919">
      <c r="B919" s="110"/>
      <c r="C919" s="104"/>
      <c r="D919" s="105"/>
      <c r="E919" s="109"/>
      <c r="F919" s="108"/>
      <c r="G919" s="111"/>
      <c r="H919" s="112"/>
    </row>
    <row r="920">
      <c r="B920" s="110"/>
      <c r="C920" s="104"/>
      <c r="D920" s="105"/>
      <c r="E920" s="109"/>
      <c r="F920" s="108"/>
      <c r="G920" s="111"/>
      <c r="H920" s="112"/>
    </row>
    <row r="921">
      <c r="B921" s="110"/>
      <c r="C921" s="104"/>
      <c r="D921" s="105"/>
      <c r="E921" s="109"/>
      <c r="F921" s="108"/>
      <c r="G921" s="111"/>
      <c r="H921" s="112"/>
    </row>
    <row r="922">
      <c r="B922" s="110"/>
      <c r="C922" s="104"/>
      <c r="D922" s="105"/>
      <c r="E922" s="109"/>
      <c r="F922" s="108"/>
      <c r="G922" s="111"/>
      <c r="H922" s="112"/>
    </row>
    <row r="923">
      <c r="B923" s="110"/>
      <c r="C923" s="104"/>
      <c r="D923" s="105"/>
      <c r="E923" s="109"/>
      <c r="F923" s="108"/>
      <c r="G923" s="111"/>
      <c r="H923" s="112"/>
    </row>
    <row r="924">
      <c r="B924" s="110"/>
      <c r="C924" s="104"/>
      <c r="D924" s="105"/>
      <c r="E924" s="109"/>
      <c r="F924" s="108"/>
      <c r="G924" s="111"/>
      <c r="H924" s="112"/>
    </row>
    <row r="925">
      <c r="B925" s="110"/>
      <c r="C925" s="104"/>
      <c r="D925" s="105"/>
      <c r="E925" s="109"/>
      <c r="F925" s="108"/>
      <c r="G925" s="111"/>
      <c r="H925" s="112"/>
    </row>
    <row r="926">
      <c r="B926" s="110"/>
      <c r="C926" s="104"/>
      <c r="D926" s="105"/>
      <c r="E926" s="109"/>
      <c r="F926" s="108"/>
      <c r="G926" s="111"/>
      <c r="H926" s="112"/>
    </row>
    <row r="927">
      <c r="B927" s="110"/>
      <c r="C927" s="104"/>
      <c r="D927" s="105"/>
      <c r="E927" s="109"/>
      <c r="F927" s="108"/>
      <c r="G927" s="111"/>
      <c r="H927" s="112"/>
    </row>
    <row r="928">
      <c r="B928" s="110"/>
      <c r="C928" s="104"/>
      <c r="D928" s="105"/>
      <c r="E928" s="109"/>
      <c r="F928" s="108"/>
      <c r="G928" s="111"/>
      <c r="H928" s="112"/>
    </row>
    <row r="929">
      <c r="B929" s="110"/>
      <c r="C929" s="104"/>
      <c r="D929" s="105"/>
      <c r="E929" s="109"/>
      <c r="F929" s="108"/>
      <c r="G929" s="111"/>
      <c r="H929" s="112"/>
    </row>
    <row r="930">
      <c r="B930" s="110"/>
      <c r="C930" s="104"/>
      <c r="D930" s="105"/>
      <c r="E930" s="109"/>
      <c r="F930" s="108"/>
      <c r="G930" s="111"/>
      <c r="H930" s="112"/>
    </row>
    <row r="931">
      <c r="B931" s="110"/>
      <c r="C931" s="104"/>
      <c r="D931" s="105"/>
      <c r="E931" s="109"/>
      <c r="F931" s="108"/>
      <c r="G931" s="111"/>
      <c r="H931" s="112"/>
    </row>
    <row r="932">
      <c r="B932" s="110"/>
      <c r="C932" s="104"/>
      <c r="D932" s="105"/>
      <c r="E932" s="109"/>
      <c r="F932" s="108"/>
      <c r="G932" s="111"/>
      <c r="H932" s="112"/>
    </row>
    <row r="933">
      <c r="B933" s="110"/>
      <c r="C933" s="104"/>
      <c r="D933" s="105"/>
      <c r="E933" s="109"/>
      <c r="F933" s="108"/>
      <c r="G933" s="111"/>
      <c r="H933" s="112"/>
    </row>
    <row r="934">
      <c r="B934" s="110"/>
      <c r="C934" s="104"/>
      <c r="D934" s="105"/>
      <c r="E934" s="109"/>
      <c r="F934" s="108"/>
      <c r="G934" s="111"/>
      <c r="H934" s="112"/>
    </row>
    <row r="935">
      <c r="B935" s="110"/>
      <c r="C935" s="104"/>
      <c r="D935" s="105"/>
      <c r="E935" s="109"/>
      <c r="F935" s="108"/>
      <c r="G935" s="111"/>
      <c r="H935" s="112"/>
    </row>
    <row r="936">
      <c r="B936" s="110"/>
      <c r="C936" s="104"/>
      <c r="D936" s="105"/>
      <c r="E936" s="109"/>
      <c r="F936" s="108"/>
      <c r="G936" s="111"/>
      <c r="H936" s="112"/>
    </row>
    <row r="937">
      <c r="B937" s="110"/>
      <c r="C937" s="104"/>
      <c r="D937" s="105"/>
      <c r="E937" s="109"/>
      <c r="F937" s="108"/>
      <c r="G937" s="111"/>
      <c r="H937" s="112"/>
    </row>
    <row r="938">
      <c r="B938" s="110"/>
      <c r="C938" s="104"/>
      <c r="D938" s="105"/>
      <c r="E938" s="109"/>
      <c r="F938" s="108"/>
      <c r="G938" s="111"/>
      <c r="H938" s="112"/>
    </row>
    <row r="939">
      <c r="B939" s="110"/>
      <c r="C939" s="104"/>
      <c r="D939" s="105"/>
      <c r="E939" s="109"/>
      <c r="F939" s="108"/>
      <c r="G939" s="111"/>
      <c r="H939" s="112"/>
    </row>
    <row r="940">
      <c r="B940" s="110"/>
      <c r="C940" s="104"/>
      <c r="D940" s="105"/>
      <c r="E940" s="109"/>
      <c r="F940" s="108"/>
      <c r="G940" s="111"/>
      <c r="H940" s="112"/>
    </row>
    <row r="941">
      <c r="B941" s="110"/>
      <c r="C941" s="104"/>
      <c r="D941" s="105"/>
      <c r="E941" s="109"/>
      <c r="F941" s="108"/>
      <c r="G941" s="111"/>
      <c r="H941" s="112"/>
    </row>
    <row r="942">
      <c r="B942" s="110"/>
      <c r="C942" s="104"/>
      <c r="D942" s="105"/>
      <c r="E942" s="109"/>
      <c r="F942" s="108"/>
      <c r="G942" s="111"/>
      <c r="H942" s="112"/>
    </row>
    <row r="943">
      <c r="B943" s="110"/>
      <c r="C943" s="104"/>
      <c r="D943" s="105"/>
      <c r="E943" s="109"/>
      <c r="F943" s="108"/>
      <c r="G943" s="111"/>
      <c r="H943" s="112"/>
    </row>
    <row r="944">
      <c r="B944" s="110"/>
      <c r="C944" s="104"/>
      <c r="D944" s="105"/>
      <c r="E944" s="109"/>
      <c r="F944" s="108"/>
      <c r="G944" s="111"/>
      <c r="H944" s="112"/>
    </row>
    <row r="945">
      <c r="B945" s="110"/>
      <c r="C945" s="104"/>
      <c r="D945" s="105"/>
      <c r="E945" s="109"/>
      <c r="F945" s="108"/>
      <c r="G945" s="111"/>
      <c r="H945" s="112"/>
    </row>
    <row r="946">
      <c r="B946" s="110"/>
      <c r="C946" s="104"/>
      <c r="D946" s="105"/>
      <c r="E946" s="109"/>
      <c r="F946" s="108"/>
      <c r="G946" s="111"/>
      <c r="H946" s="112"/>
    </row>
    <row r="947">
      <c r="B947" s="110"/>
      <c r="C947" s="104"/>
      <c r="D947" s="105"/>
      <c r="E947" s="109"/>
      <c r="F947" s="108"/>
      <c r="G947" s="111"/>
      <c r="H947" s="112"/>
    </row>
    <row r="948">
      <c r="B948" s="110"/>
      <c r="C948" s="104"/>
      <c r="D948" s="105"/>
      <c r="E948" s="109"/>
      <c r="F948" s="108"/>
      <c r="G948" s="111"/>
      <c r="H948" s="112"/>
    </row>
    <row r="949">
      <c r="B949" s="110"/>
      <c r="C949" s="104"/>
      <c r="D949" s="105"/>
      <c r="E949" s="109"/>
      <c r="F949" s="108"/>
      <c r="G949" s="111"/>
      <c r="H949" s="112"/>
    </row>
    <row r="950">
      <c r="B950" s="110"/>
      <c r="C950" s="104"/>
      <c r="D950" s="105"/>
      <c r="E950" s="109"/>
      <c r="F950" s="108"/>
      <c r="G950" s="111"/>
      <c r="H950" s="112"/>
    </row>
    <row r="951">
      <c r="B951" s="110"/>
      <c r="C951" s="104"/>
      <c r="D951" s="105"/>
      <c r="E951" s="109"/>
      <c r="F951" s="108"/>
      <c r="G951" s="111"/>
      <c r="H951" s="112"/>
    </row>
    <row r="952">
      <c r="B952" s="110"/>
      <c r="C952" s="104"/>
      <c r="D952" s="105"/>
      <c r="E952" s="109"/>
      <c r="F952" s="108"/>
      <c r="G952" s="111"/>
      <c r="H952" s="112"/>
    </row>
    <row r="953">
      <c r="B953" s="110"/>
      <c r="C953" s="104"/>
      <c r="D953" s="105"/>
      <c r="E953" s="109"/>
      <c r="F953" s="108"/>
      <c r="G953" s="111"/>
      <c r="H953" s="112"/>
    </row>
    <row r="954">
      <c r="B954" s="110"/>
      <c r="C954" s="104"/>
      <c r="D954" s="105"/>
      <c r="E954" s="109"/>
      <c r="F954" s="108"/>
      <c r="G954" s="111"/>
      <c r="H954" s="112"/>
    </row>
    <row r="955">
      <c r="B955" s="110"/>
      <c r="C955" s="104"/>
      <c r="D955" s="105"/>
      <c r="E955" s="109"/>
      <c r="F955" s="108"/>
      <c r="G955" s="111"/>
      <c r="H955" s="112"/>
    </row>
    <row r="956">
      <c r="B956" s="110"/>
      <c r="C956" s="104"/>
      <c r="D956" s="105"/>
      <c r="E956" s="109"/>
      <c r="F956" s="108"/>
      <c r="G956" s="111"/>
      <c r="H956" s="112"/>
    </row>
    <row r="957">
      <c r="B957" s="110"/>
      <c r="C957" s="104"/>
      <c r="D957" s="105"/>
      <c r="E957" s="109"/>
      <c r="F957" s="108"/>
      <c r="G957" s="111"/>
      <c r="H957" s="112"/>
    </row>
    <row r="958">
      <c r="B958" s="110"/>
      <c r="C958" s="104"/>
      <c r="D958" s="105"/>
      <c r="E958" s="109"/>
      <c r="F958" s="108"/>
      <c r="G958" s="111"/>
      <c r="H958" s="112"/>
    </row>
    <row r="959">
      <c r="B959" s="110"/>
      <c r="C959" s="104"/>
      <c r="D959" s="105"/>
      <c r="E959" s="109"/>
      <c r="F959" s="108"/>
      <c r="G959" s="111"/>
      <c r="H959" s="112"/>
    </row>
    <row r="960">
      <c r="B960" s="110"/>
      <c r="C960" s="104"/>
      <c r="D960" s="105"/>
      <c r="E960" s="109"/>
      <c r="F960" s="108"/>
      <c r="G960" s="111"/>
      <c r="H960" s="112"/>
    </row>
    <row r="961">
      <c r="B961" s="110"/>
      <c r="C961" s="104"/>
      <c r="D961" s="105"/>
      <c r="E961" s="109"/>
      <c r="F961" s="108"/>
      <c r="G961" s="111"/>
      <c r="H961" s="112"/>
    </row>
    <row r="962">
      <c r="B962" s="110"/>
      <c r="C962" s="104"/>
      <c r="D962" s="105"/>
      <c r="E962" s="109"/>
      <c r="F962" s="108"/>
      <c r="G962" s="111"/>
      <c r="H962" s="112"/>
    </row>
    <row r="963">
      <c r="B963" s="110"/>
      <c r="C963" s="104"/>
      <c r="D963" s="105"/>
      <c r="E963" s="109"/>
      <c r="F963" s="108"/>
      <c r="G963" s="111"/>
      <c r="H963" s="112"/>
    </row>
    <row r="964">
      <c r="B964" s="110"/>
      <c r="C964" s="104"/>
      <c r="D964" s="105"/>
      <c r="E964" s="109"/>
      <c r="F964" s="108"/>
      <c r="G964" s="111"/>
      <c r="H964" s="112"/>
    </row>
    <row r="965">
      <c r="B965" s="110"/>
      <c r="C965" s="104"/>
      <c r="D965" s="105"/>
      <c r="E965" s="109"/>
      <c r="F965" s="108"/>
      <c r="G965" s="111"/>
      <c r="H965" s="112"/>
    </row>
    <row r="966">
      <c r="B966" s="110"/>
      <c r="C966" s="104"/>
      <c r="D966" s="105"/>
      <c r="E966" s="109"/>
      <c r="F966" s="108"/>
      <c r="G966" s="111"/>
      <c r="H966" s="112"/>
    </row>
    <row r="967">
      <c r="B967" s="110"/>
      <c r="C967" s="104"/>
      <c r="D967" s="105"/>
      <c r="E967" s="109"/>
      <c r="F967" s="108"/>
      <c r="G967" s="111"/>
      <c r="H967" s="112"/>
    </row>
    <row r="968">
      <c r="B968" s="110"/>
      <c r="C968" s="104"/>
      <c r="D968" s="105"/>
      <c r="E968" s="109"/>
      <c r="F968" s="108"/>
      <c r="G968" s="111"/>
      <c r="H968" s="112"/>
    </row>
    <row r="969">
      <c r="B969" s="110"/>
      <c r="C969" s="104"/>
      <c r="D969" s="105"/>
      <c r="E969" s="109"/>
      <c r="F969" s="108"/>
      <c r="G969" s="111"/>
      <c r="H969" s="112"/>
    </row>
    <row r="970">
      <c r="B970" s="110"/>
      <c r="C970" s="104"/>
      <c r="D970" s="105"/>
      <c r="E970" s="109"/>
      <c r="F970" s="108"/>
      <c r="G970" s="111"/>
      <c r="H970" s="112"/>
    </row>
    <row r="971">
      <c r="B971" s="110"/>
      <c r="C971" s="104"/>
      <c r="D971" s="105"/>
      <c r="E971" s="109"/>
      <c r="F971" s="108"/>
      <c r="G971" s="111"/>
      <c r="H971" s="112"/>
    </row>
    <row r="972">
      <c r="B972" s="110"/>
      <c r="C972" s="104"/>
      <c r="D972" s="105"/>
      <c r="E972" s="109"/>
      <c r="F972" s="108"/>
      <c r="G972" s="111"/>
      <c r="H972" s="112"/>
    </row>
    <row r="973">
      <c r="B973" s="110"/>
      <c r="C973" s="104"/>
      <c r="D973" s="105"/>
      <c r="E973" s="109"/>
      <c r="F973" s="108"/>
      <c r="G973" s="111"/>
      <c r="H973" s="112"/>
    </row>
    <row r="974">
      <c r="B974" s="110"/>
      <c r="C974" s="104"/>
      <c r="D974" s="105"/>
      <c r="E974" s="109"/>
      <c r="F974" s="108"/>
      <c r="G974" s="111"/>
      <c r="H974" s="112"/>
    </row>
    <row r="975">
      <c r="B975" s="110"/>
      <c r="C975" s="104"/>
      <c r="D975" s="105"/>
      <c r="E975" s="109"/>
      <c r="F975" s="108"/>
      <c r="G975" s="111"/>
      <c r="H975" s="112"/>
    </row>
    <row r="976">
      <c r="B976" s="110"/>
      <c r="C976" s="104"/>
      <c r="D976" s="105"/>
      <c r="E976" s="109"/>
      <c r="F976" s="108"/>
      <c r="G976" s="111"/>
      <c r="H976" s="112"/>
    </row>
    <row r="977">
      <c r="B977" s="110"/>
      <c r="C977" s="104"/>
      <c r="D977" s="105"/>
      <c r="E977" s="109"/>
      <c r="F977" s="108"/>
      <c r="G977" s="111"/>
      <c r="H977" s="112"/>
    </row>
    <row r="978">
      <c r="B978" s="110"/>
      <c r="C978" s="104"/>
      <c r="D978" s="105"/>
      <c r="E978" s="109"/>
      <c r="F978" s="108"/>
      <c r="G978" s="111"/>
      <c r="H978" s="112"/>
    </row>
    <row r="979">
      <c r="B979" s="110"/>
      <c r="C979" s="104"/>
      <c r="D979" s="105"/>
      <c r="E979" s="109"/>
      <c r="F979" s="108"/>
      <c r="G979" s="111"/>
      <c r="H979" s="112"/>
    </row>
    <row r="980">
      <c r="B980" s="110"/>
      <c r="C980" s="104"/>
      <c r="D980" s="105"/>
      <c r="E980" s="109"/>
      <c r="F980" s="108"/>
      <c r="G980" s="111"/>
      <c r="H980" s="112"/>
    </row>
    <row r="981">
      <c r="B981" s="110"/>
      <c r="C981" s="104"/>
      <c r="D981" s="105"/>
      <c r="E981" s="109"/>
      <c r="F981" s="108"/>
      <c r="G981" s="111"/>
      <c r="H981" s="112"/>
    </row>
    <row r="982">
      <c r="B982" s="110"/>
      <c r="C982" s="104"/>
      <c r="D982" s="105"/>
      <c r="E982" s="109"/>
      <c r="F982" s="108"/>
      <c r="G982" s="111"/>
      <c r="H982" s="112"/>
    </row>
    <row r="983">
      <c r="B983" s="110"/>
      <c r="C983" s="104"/>
      <c r="D983" s="105"/>
      <c r="E983" s="109"/>
      <c r="F983" s="108"/>
      <c r="G983" s="111"/>
      <c r="H983" s="112"/>
    </row>
    <row r="984">
      <c r="B984" s="110"/>
      <c r="C984" s="104"/>
      <c r="D984" s="105"/>
      <c r="E984" s="109"/>
      <c r="F984" s="108"/>
      <c r="G984" s="111"/>
      <c r="H984" s="112"/>
    </row>
    <row r="985">
      <c r="B985" s="110"/>
      <c r="C985" s="104"/>
      <c r="D985" s="105"/>
      <c r="E985" s="109"/>
      <c r="F985" s="108"/>
      <c r="G985" s="111"/>
      <c r="H985" s="112"/>
    </row>
    <row r="986">
      <c r="B986" s="110"/>
      <c r="C986" s="104"/>
      <c r="D986" s="105"/>
      <c r="E986" s="109"/>
      <c r="F986" s="108"/>
      <c r="G986" s="111"/>
      <c r="H986" s="112"/>
    </row>
    <row r="987">
      <c r="B987" s="110"/>
      <c r="C987" s="104"/>
      <c r="D987" s="105"/>
      <c r="E987" s="109"/>
      <c r="F987" s="108"/>
      <c r="G987" s="111"/>
      <c r="H987" s="112"/>
    </row>
    <row r="988">
      <c r="B988" s="110"/>
      <c r="C988" s="104"/>
      <c r="D988" s="105"/>
      <c r="E988" s="109"/>
      <c r="F988" s="108"/>
      <c r="G988" s="111"/>
      <c r="H988" s="112"/>
    </row>
    <row r="989">
      <c r="B989" s="110"/>
      <c r="C989" s="104"/>
      <c r="D989" s="105"/>
      <c r="E989" s="109"/>
      <c r="F989" s="108"/>
      <c r="G989" s="111"/>
      <c r="H989" s="112"/>
    </row>
    <row r="990">
      <c r="B990" s="110"/>
      <c r="C990" s="104"/>
      <c r="D990" s="105"/>
      <c r="E990" s="109"/>
      <c r="F990" s="108"/>
      <c r="G990" s="111"/>
      <c r="H990" s="112"/>
    </row>
    <row r="991">
      <c r="B991" s="110"/>
      <c r="C991" s="104"/>
      <c r="D991" s="105"/>
      <c r="E991" s="109"/>
      <c r="F991" s="108"/>
      <c r="G991" s="111"/>
      <c r="H991" s="112"/>
    </row>
    <row r="992">
      <c r="B992" s="110"/>
      <c r="C992" s="104"/>
      <c r="D992" s="105"/>
      <c r="E992" s="109"/>
      <c r="F992" s="108"/>
      <c r="G992" s="111"/>
      <c r="H992" s="112"/>
    </row>
    <row r="993">
      <c r="B993" s="110"/>
      <c r="C993" s="104"/>
      <c r="D993" s="105"/>
      <c r="E993" s="109"/>
      <c r="F993" s="108"/>
      <c r="G993" s="111"/>
      <c r="H993" s="112"/>
    </row>
    <row r="994">
      <c r="B994" s="110"/>
      <c r="C994" s="104"/>
      <c r="D994" s="105"/>
      <c r="E994" s="109"/>
      <c r="F994" s="108"/>
      <c r="G994" s="111"/>
      <c r="H994" s="112"/>
    </row>
    <row r="995">
      <c r="B995" s="110"/>
      <c r="C995" s="104"/>
      <c r="D995" s="105"/>
      <c r="E995" s="109"/>
      <c r="F995" s="108"/>
      <c r="G995" s="111"/>
      <c r="H995" s="112"/>
    </row>
    <row r="996">
      <c r="B996" s="110"/>
      <c r="C996" s="104"/>
      <c r="D996" s="105"/>
      <c r="E996" s="109"/>
      <c r="F996" s="108"/>
      <c r="G996" s="111"/>
      <c r="H996" s="112"/>
    </row>
    <row r="997">
      <c r="B997" s="110"/>
      <c r="C997" s="104"/>
      <c r="D997" s="105"/>
      <c r="E997" s="109"/>
      <c r="F997" s="108"/>
      <c r="G997" s="111"/>
      <c r="H997" s="112"/>
    </row>
    <row r="998">
      <c r="B998" s="110"/>
      <c r="C998" s="104"/>
      <c r="D998" s="105"/>
      <c r="E998" s="109"/>
      <c r="F998" s="108"/>
      <c r="G998" s="111"/>
      <c r="H998" s="112"/>
    </row>
    <row r="999">
      <c r="B999" s="110"/>
      <c r="C999" s="104"/>
      <c r="D999" s="105"/>
      <c r="E999" s="109"/>
      <c r="F999" s="108"/>
      <c r="G999" s="111"/>
      <c r="H999" s="112"/>
    </row>
    <row r="1000">
      <c r="B1000" s="110"/>
      <c r="C1000" s="104"/>
      <c r="D1000" s="105"/>
      <c r="E1000" s="109"/>
      <c r="F1000" s="108"/>
      <c r="G1000" s="111"/>
      <c r="H1000" s="1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3" t="s">
        <v>119</v>
      </c>
      <c r="B1" s="114" t="s">
        <v>94</v>
      </c>
      <c r="C1" s="115" t="s">
        <v>95</v>
      </c>
      <c r="D1" s="116" t="s">
        <v>97</v>
      </c>
      <c r="E1" s="117" t="s">
        <v>99</v>
      </c>
      <c r="F1" s="118" t="s">
        <v>101</v>
      </c>
      <c r="G1" s="119" t="s">
        <v>102</v>
      </c>
      <c r="H1" s="120" t="s">
        <v>104</v>
      </c>
    </row>
    <row r="2">
      <c r="A2" s="92" t="s">
        <v>120</v>
      </c>
      <c r="B2" s="93" t="s">
        <v>121</v>
      </c>
      <c r="C2" s="94" t="s">
        <v>122</v>
      </c>
      <c r="D2" s="95" t="s">
        <v>123</v>
      </c>
      <c r="E2" s="96" t="s">
        <v>124</v>
      </c>
      <c r="F2" s="97" t="s">
        <v>125</v>
      </c>
      <c r="G2" s="98" t="s">
        <v>126</v>
      </c>
      <c r="H2" s="99" t="s">
        <v>127</v>
      </c>
    </row>
    <row r="3">
      <c r="A3" s="92" t="s">
        <v>128</v>
      </c>
      <c r="B3" s="93" t="s">
        <v>129</v>
      </c>
      <c r="C3" s="94" t="s">
        <v>130</v>
      </c>
      <c r="D3" s="95" t="s">
        <v>131</v>
      </c>
      <c r="E3" s="96" t="s">
        <v>132</v>
      </c>
      <c r="F3" s="97" t="s">
        <v>133</v>
      </c>
      <c r="G3" s="98" t="s">
        <v>134</v>
      </c>
      <c r="H3" s="99" t="s">
        <v>135</v>
      </c>
    </row>
    <row r="4">
      <c r="A4" s="92" t="s">
        <v>136</v>
      </c>
      <c r="B4" s="93" t="s">
        <v>137</v>
      </c>
      <c r="C4" s="94" t="s">
        <v>138</v>
      </c>
      <c r="D4" s="95" t="s">
        <v>139</v>
      </c>
      <c r="E4" s="96" t="s">
        <v>140</v>
      </c>
      <c r="F4" s="97" t="s">
        <v>141</v>
      </c>
      <c r="G4" s="98" t="s">
        <v>142</v>
      </c>
      <c r="H4" s="99" t="s">
        <v>143</v>
      </c>
    </row>
    <row r="5">
      <c r="A5" s="92" t="s">
        <v>144</v>
      </c>
      <c r="B5" s="93" t="s">
        <v>145</v>
      </c>
      <c r="C5" s="94" t="s">
        <v>146</v>
      </c>
      <c r="D5" s="95" t="s">
        <v>147</v>
      </c>
      <c r="E5" s="96" t="s">
        <v>148</v>
      </c>
      <c r="F5" s="97" t="s">
        <v>149</v>
      </c>
      <c r="G5" s="98" t="s">
        <v>150</v>
      </c>
      <c r="H5" s="99" t="s">
        <v>151</v>
      </c>
    </row>
    <row r="6">
      <c r="A6" s="92" t="s">
        <v>152</v>
      </c>
      <c r="B6" s="104"/>
      <c r="C6" s="105"/>
      <c r="D6" s="95" t="s">
        <v>153</v>
      </c>
      <c r="E6" s="96" t="s">
        <v>154</v>
      </c>
      <c r="F6" s="97" t="s">
        <v>155</v>
      </c>
      <c r="G6" s="98" t="s">
        <v>70</v>
      </c>
      <c r="H6" s="99" t="s">
        <v>156</v>
      </c>
    </row>
    <row r="7">
      <c r="A7" s="92" t="s">
        <v>157</v>
      </c>
      <c r="B7" s="104"/>
      <c r="C7" s="105"/>
      <c r="D7" s="95" t="s">
        <v>158</v>
      </c>
      <c r="E7" s="96" t="s">
        <v>159</v>
      </c>
      <c r="F7" s="97" t="s">
        <v>160</v>
      </c>
      <c r="G7" s="98" t="s">
        <v>64</v>
      </c>
      <c r="H7" s="99" t="s">
        <v>161</v>
      </c>
    </row>
    <row r="8">
      <c r="A8" s="92" t="s">
        <v>162</v>
      </c>
      <c r="B8" s="104"/>
      <c r="C8" s="105"/>
      <c r="D8" s="95" t="s">
        <v>163</v>
      </c>
      <c r="E8" s="96" t="s">
        <v>164</v>
      </c>
      <c r="F8" s="97" t="s">
        <v>165</v>
      </c>
      <c r="G8" s="98" t="s">
        <v>166</v>
      </c>
      <c r="H8" s="99" t="s">
        <v>167</v>
      </c>
    </row>
    <row r="9">
      <c r="A9" s="92" t="s">
        <v>168</v>
      </c>
      <c r="B9" s="104"/>
      <c r="C9" s="105"/>
      <c r="D9" s="95" t="s">
        <v>169</v>
      </c>
      <c r="E9" s="108"/>
      <c r="F9" s="97" t="s">
        <v>170</v>
      </c>
      <c r="G9" s="98" t="s">
        <v>171</v>
      </c>
      <c r="H9" s="99" t="s">
        <v>172</v>
      </c>
    </row>
    <row r="10">
      <c r="A10" s="92" t="s">
        <v>173</v>
      </c>
      <c r="B10" s="104"/>
      <c r="C10" s="105"/>
      <c r="D10" s="109"/>
      <c r="E10" s="108"/>
      <c r="F10" s="97" t="s">
        <v>174</v>
      </c>
      <c r="G10" s="98" t="s">
        <v>175</v>
      </c>
      <c r="H10" s="99" t="s">
        <v>176</v>
      </c>
    </row>
    <row r="11">
      <c r="A11" s="110"/>
      <c r="B11" s="104"/>
      <c r="C11" s="105"/>
      <c r="D11" s="109"/>
      <c r="E11" s="108"/>
      <c r="F11" s="111"/>
      <c r="G11" s="98" t="s">
        <v>177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  <col customWidth="1" min="2" max="2" width="63.25"/>
  </cols>
  <sheetData>
    <row r="1">
      <c r="A1" s="99" t="s">
        <v>132</v>
      </c>
      <c r="B1" s="121"/>
    </row>
    <row r="2">
      <c r="A2" s="122" t="s">
        <v>72</v>
      </c>
      <c r="B2" s="123" t="s">
        <v>8</v>
      </c>
    </row>
    <row r="3">
      <c r="A3" s="99" t="s">
        <v>164</v>
      </c>
      <c r="B3" s="121"/>
    </row>
    <row r="4">
      <c r="A4" s="124" t="s">
        <v>64</v>
      </c>
      <c r="B4" s="123" t="s">
        <v>23</v>
      </c>
    </row>
    <row r="5">
      <c r="A5" s="125" t="s">
        <v>53</v>
      </c>
      <c r="B5" s="121"/>
    </row>
    <row r="6">
      <c r="A6" s="54" t="s">
        <v>118</v>
      </c>
      <c r="B6" s="121"/>
    </row>
    <row r="7">
      <c r="A7" s="99" t="s">
        <v>144</v>
      </c>
      <c r="B7" s="121"/>
    </row>
    <row r="8">
      <c r="A8" s="54" t="s">
        <v>60</v>
      </c>
      <c r="B8" s="123" t="s">
        <v>178</v>
      </c>
    </row>
    <row r="9">
      <c r="A9" s="54" t="s">
        <v>179</v>
      </c>
      <c r="B9" s="126"/>
    </row>
    <row r="10">
      <c r="A10" s="54" t="s">
        <v>180</v>
      </c>
      <c r="B10" s="127" t="s">
        <v>11</v>
      </c>
    </row>
    <row r="11">
      <c r="A11" s="128" t="s">
        <v>105</v>
      </c>
      <c r="B11" s="123" t="s">
        <v>11</v>
      </c>
    </row>
    <row r="12">
      <c r="A12" s="122" t="s">
        <v>74</v>
      </c>
      <c r="B12" s="123" t="s">
        <v>11</v>
      </c>
    </row>
    <row r="13">
      <c r="A13" s="122" t="s">
        <v>71</v>
      </c>
      <c r="B13" s="123" t="s">
        <v>27</v>
      </c>
    </row>
    <row r="14">
      <c r="A14" s="99" t="s">
        <v>168</v>
      </c>
      <c r="B14" s="121"/>
    </row>
    <row r="15">
      <c r="A15" s="99" t="s">
        <v>152</v>
      </c>
      <c r="B15" s="121"/>
    </row>
    <row r="16">
      <c r="A16" s="99" t="s">
        <v>130</v>
      </c>
      <c r="B16" s="121"/>
    </row>
    <row r="17">
      <c r="A17" s="99" t="s">
        <v>162</v>
      </c>
      <c r="B17" s="121"/>
    </row>
    <row r="18">
      <c r="A18" s="99" t="s">
        <v>137</v>
      </c>
      <c r="B18" s="121"/>
    </row>
    <row r="19">
      <c r="A19" s="122" t="s">
        <v>69</v>
      </c>
      <c r="B19" s="123" t="s">
        <v>11</v>
      </c>
    </row>
    <row r="20">
      <c r="A20" s="99" t="s">
        <v>166</v>
      </c>
      <c r="B20" s="121"/>
    </row>
    <row r="21">
      <c r="A21" s="99" t="s">
        <v>138</v>
      </c>
      <c r="B21" s="121"/>
    </row>
    <row r="22">
      <c r="A22" s="99" t="s">
        <v>172</v>
      </c>
      <c r="B22" s="121"/>
    </row>
    <row r="23">
      <c r="A23" s="88" t="s">
        <v>32</v>
      </c>
      <c r="B23" s="127" t="s">
        <v>7</v>
      </c>
    </row>
    <row r="24">
      <c r="A24" s="125" t="s">
        <v>91</v>
      </c>
      <c r="B24" s="121"/>
    </row>
    <row r="25">
      <c r="A25" s="99" t="s">
        <v>161</v>
      </c>
      <c r="B25" s="121"/>
    </row>
    <row r="26">
      <c r="A26" s="99" t="s">
        <v>171</v>
      </c>
      <c r="B26" s="121"/>
    </row>
    <row r="27">
      <c r="A27" s="99" t="s">
        <v>151</v>
      </c>
      <c r="B27" s="121"/>
    </row>
    <row r="28">
      <c r="A28" s="122" t="s">
        <v>57</v>
      </c>
      <c r="B28" s="123" t="s">
        <v>11</v>
      </c>
    </row>
    <row r="29">
      <c r="A29" s="122" t="s">
        <v>57</v>
      </c>
      <c r="B29" s="123" t="s">
        <v>29</v>
      </c>
    </row>
    <row r="30">
      <c r="A30" s="99" t="s">
        <v>126</v>
      </c>
      <c r="B30" s="121"/>
    </row>
    <row r="31">
      <c r="A31" s="54" t="s">
        <v>7</v>
      </c>
      <c r="B31" s="121"/>
    </row>
    <row r="32">
      <c r="A32" s="129" t="s">
        <v>54</v>
      </c>
      <c r="B32" s="123" t="s">
        <v>23</v>
      </c>
    </row>
    <row r="33">
      <c r="A33" s="99" t="s">
        <v>169</v>
      </c>
      <c r="B33" s="121"/>
    </row>
    <row r="34">
      <c r="A34" s="99" t="s">
        <v>155</v>
      </c>
      <c r="B34" s="121"/>
    </row>
    <row r="35">
      <c r="A35" s="54" t="s">
        <v>115</v>
      </c>
      <c r="B35" s="123" t="s">
        <v>6</v>
      </c>
    </row>
    <row r="36">
      <c r="A36" s="54" t="s">
        <v>67</v>
      </c>
      <c r="B36" s="123" t="s">
        <v>181</v>
      </c>
    </row>
    <row r="37">
      <c r="A37" s="130" t="s">
        <v>67</v>
      </c>
      <c r="B37" s="123" t="s">
        <v>9</v>
      </c>
    </row>
    <row r="38">
      <c r="A38" s="42" t="s">
        <v>67</v>
      </c>
      <c r="B38" s="123" t="s">
        <v>10</v>
      </c>
    </row>
    <row r="39">
      <c r="A39" s="54" t="s">
        <v>116</v>
      </c>
      <c r="B39" s="123" t="s">
        <v>20</v>
      </c>
    </row>
    <row r="40">
      <c r="A40" s="54" t="s">
        <v>45</v>
      </c>
      <c r="B40" s="123" t="s">
        <v>26</v>
      </c>
    </row>
    <row r="41">
      <c r="A41" s="54" t="s">
        <v>59</v>
      </c>
      <c r="B41" s="123" t="s">
        <v>8</v>
      </c>
    </row>
    <row r="42">
      <c r="A42" s="42" t="s">
        <v>59</v>
      </c>
      <c r="B42" s="123" t="s">
        <v>8</v>
      </c>
    </row>
    <row r="43">
      <c r="A43" s="54" t="s">
        <v>41</v>
      </c>
      <c r="B43" s="123" t="s">
        <v>182</v>
      </c>
    </row>
    <row r="44">
      <c r="A44" s="54" t="s">
        <v>183</v>
      </c>
      <c r="B44" s="121"/>
    </row>
    <row r="45">
      <c r="A45" s="125" t="s">
        <v>109</v>
      </c>
      <c r="B45" s="121"/>
    </row>
    <row r="46">
      <c r="A46" s="122" t="s">
        <v>37</v>
      </c>
      <c r="B46" s="123" t="s">
        <v>184</v>
      </c>
    </row>
    <row r="47">
      <c r="A47" s="125" t="s">
        <v>89</v>
      </c>
      <c r="B47" s="121"/>
    </row>
    <row r="48">
      <c r="A48" s="99" t="s">
        <v>173</v>
      </c>
      <c r="B48" s="121"/>
    </row>
    <row r="49">
      <c r="A49" s="122" t="s">
        <v>44</v>
      </c>
      <c r="B49" s="123" t="s">
        <v>185</v>
      </c>
    </row>
    <row r="50">
      <c r="A50" s="122" t="s">
        <v>44</v>
      </c>
      <c r="B50" s="123" t="s">
        <v>11</v>
      </c>
    </row>
    <row r="51">
      <c r="A51" s="99" t="s">
        <v>122</v>
      </c>
      <c r="B51" s="123" t="s">
        <v>6</v>
      </c>
    </row>
    <row r="52">
      <c r="A52" s="88" t="s">
        <v>47</v>
      </c>
      <c r="B52" s="127" t="s">
        <v>6</v>
      </c>
    </row>
    <row r="53">
      <c r="A53" s="99" t="s">
        <v>146</v>
      </c>
      <c r="B53" s="123" t="s">
        <v>6</v>
      </c>
    </row>
    <row r="54">
      <c r="A54" s="122" t="s">
        <v>46</v>
      </c>
      <c r="B54" s="123" t="s">
        <v>29</v>
      </c>
    </row>
    <row r="55">
      <c r="A55" s="54" t="s">
        <v>62</v>
      </c>
      <c r="B55" s="123" t="s">
        <v>16</v>
      </c>
    </row>
    <row r="56">
      <c r="A56" s="54" t="s">
        <v>50</v>
      </c>
      <c r="B56" s="123" t="s">
        <v>16</v>
      </c>
    </row>
    <row r="57">
      <c r="A57" s="138" t="s">
        <v>75</v>
      </c>
      <c r="B57" s="123" t="s">
        <v>20</v>
      </c>
    </row>
    <row r="58">
      <c r="A58" s="99" t="s">
        <v>143</v>
      </c>
      <c r="B58" s="121"/>
    </row>
    <row r="59">
      <c r="A59" s="124" t="s">
        <v>70</v>
      </c>
      <c r="B59" s="123" t="s">
        <v>23</v>
      </c>
    </row>
    <row r="60">
      <c r="A60" s="88" t="s">
        <v>31</v>
      </c>
      <c r="B60" s="127" t="s">
        <v>6</v>
      </c>
    </row>
    <row r="61">
      <c r="A61" s="122" t="s">
        <v>81</v>
      </c>
      <c r="B61" s="123" t="s">
        <v>20</v>
      </c>
    </row>
    <row r="62">
      <c r="A62" s="54" t="s">
        <v>85</v>
      </c>
      <c r="B62" s="123" t="s">
        <v>18</v>
      </c>
    </row>
    <row r="63">
      <c r="A63" s="54" t="s">
        <v>66</v>
      </c>
      <c r="B63" s="123" t="s">
        <v>7</v>
      </c>
    </row>
    <row r="64">
      <c r="A64" s="122" t="s">
        <v>80</v>
      </c>
      <c r="B64" s="123" t="s">
        <v>20</v>
      </c>
    </row>
    <row r="65">
      <c r="A65" s="99" t="s">
        <v>136</v>
      </c>
      <c r="B65" s="121"/>
    </row>
    <row r="66">
      <c r="A66" s="54" t="s">
        <v>114</v>
      </c>
      <c r="B66" s="123" t="s">
        <v>18</v>
      </c>
    </row>
    <row r="67">
      <c r="A67" s="122" t="s">
        <v>52</v>
      </c>
      <c r="B67" s="123" t="s">
        <v>20</v>
      </c>
    </row>
    <row r="68">
      <c r="A68" s="88" t="s">
        <v>48</v>
      </c>
      <c r="B68" s="127" t="s">
        <v>7</v>
      </c>
    </row>
    <row r="69">
      <c r="A69" s="128" t="s">
        <v>25</v>
      </c>
      <c r="B69" s="121"/>
    </row>
    <row r="70">
      <c r="A70" s="54" t="s">
        <v>98</v>
      </c>
      <c r="B70" s="126"/>
    </row>
    <row r="71">
      <c r="A71" s="54" t="s">
        <v>76</v>
      </c>
      <c r="B71" s="123" t="s">
        <v>7</v>
      </c>
    </row>
    <row r="72">
      <c r="A72" s="54" t="s">
        <v>58</v>
      </c>
      <c r="B72" s="123" t="s">
        <v>7</v>
      </c>
    </row>
    <row r="73">
      <c r="A73" s="99" t="s">
        <v>153</v>
      </c>
      <c r="B73" s="121"/>
    </row>
    <row r="74">
      <c r="A74" s="99" t="s">
        <v>147</v>
      </c>
      <c r="B74" s="121"/>
    </row>
    <row r="75">
      <c r="A75" s="99" t="s">
        <v>177</v>
      </c>
      <c r="B75" s="121"/>
    </row>
    <row r="76">
      <c r="A76" s="99" t="s">
        <v>159</v>
      </c>
      <c r="B76" s="121"/>
    </row>
    <row r="77">
      <c r="A77" s="122" t="s">
        <v>56</v>
      </c>
      <c r="B77" s="123" t="s">
        <v>189</v>
      </c>
    </row>
    <row r="78">
      <c r="A78" s="99" t="s">
        <v>145</v>
      </c>
      <c r="B78" s="121"/>
    </row>
    <row r="79">
      <c r="A79" s="99" t="s">
        <v>176</v>
      </c>
      <c r="B79" s="121"/>
    </row>
    <row r="80">
      <c r="A80" s="99" t="s">
        <v>149</v>
      </c>
      <c r="B80" s="121"/>
    </row>
    <row r="81">
      <c r="A81" s="99" t="s">
        <v>134</v>
      </c>
      <c r="B81" s="121"/>
    </row>
    <row r="82">
      <c r="A82" s="125" t="s">
        <v>108</v>
      </c>
      <c r="B82" s="121"/>
    </row>
    <row r="83">
      <c r="A83" s="99" t="s">
        <v>120</v>
      </c>
      <c r="B83" s="121"/>
    </row>
    <row r="84">
      <c r="A84" s="99" t="s">
        <v>128</v>
      </c>
      <c r="B84" s="121"/>
    </row>
    <row r="85">
      <c r="A85" s="99" t="s">
        <v>154</v>
      </c>
      <c r="B85" s="121"/>
    </row>
    <row r="86">
      <c r="A86" s="88" t="s">
        <v>33</v>
      </c>
      <c r="B86" s="123" t="s">
        <v>190</v>
      </c>
    </row>
    <row r="87">
      <c r="A87" s="99" t="s">
        <v>141</v>
      </c>
      <c r="B87" s="121"/>
    </row>
    <row r="88">
      <c r="A88" s="99" t="s">
        <v>129</v>
      </c>
      <c r="B88" s="121"/>
    </row>
    <row r="89">
      <c r="A89" s="122" t="s">
        <v>55</v>
      </c>
      <c r="B89" s="123" t="s">
        <v>191</v>
      </c>
    </row>
    <row r="90">
      <c r="A90" s="54" t="s">
        <v>73</v>
      </c>
      <c r="B90" s="123" t="s">
        <v>10</v>
      </c>
    </row>
    <row r="91">
      <c r="A91" s="128" t="s">
        <v>92</v>
      </c>
      <c r="B91" s="121"/>
    </row>
    <row r="92">
      <c r="A92" s="124" t="s">
        <v>51</v>
      </c>
      <c r="B92" s="123" t="s">
        <v>18</v>
      </c>
    </row>
    <row r="93">
      <c r="A93" s="42" t="s">
        <v>65</v>
      </c>
      <c r="B93" s="123" t="s">
        <v>192</v>
      </c>
    </row>
    <row r="94">
      <c r="A94" s="140" t="s">
        <v>167</v>
      </c>
      <c r="B94" s="121"/>
    </row>
    <row r="95">
      <c r="A95" s="141" t="s">
        <v>106</v>
      </c>
      <c r="B95" s="121"/>
    </row>
    <row r="96">
      <c r="A96" s="54" t="s">
        <v>43</v>
      </c>
      <c r="B96" s="123" t="s">
        <v>193</v>
      </c>
    </row>
    <row r="97">
      <c r="A97" s="99" t="s">
        <v>121</v>
      </c>
      <c r="B97" s="121"/>
    </row>
    <row r="98">
      <c r="A98" s="138" t="s">
        <v>78</v>
      </c>
      <c r="B98" s="123" t="s">
        <v>20</v>
      </c>
    </row>
    <row r="99">
      <c r="A99" s="54" t="s">
        <v>117</v>
      </c>
      <c r="B99" s="121"/>
    </row>
    <row r="100">
      <c r="A100" s="54" t="s">
        <v>82</v>
      </c>
      <c r="B100" s="123" t="s">
        <v>6</v>
      </c>
    </row>
    <row r="101">
      <c r="A101" s="54" t="s">
        <v>77</v>
      </c>
      <c r="B101" s="123" t="s">
        <v>194</v>
      </c>
    </row>
    <row r="102">
      <c r="A102" s="142" t="s">
        <v>87</v>
      </c>
      <c r="B102" s="121"/>
    </row>
    <row r="103">
      <c r="A103" s="142" t="s">
        <v>86</v>
      </c>
      <c r="B103" s="121"/>
    </row>
    <row r="104">
      <c r="A104" s="62" t="s">
        <v>38</v>
      </c>
      <c r="B104" s="123" t="s">
        <v>16</v>
      </c>
    </row>
    <row r="105">
      <c r="A105" s="143" t="s">
        <v>49</v>
      </c>
      <c r="B105" s="123" t="s">
        <v>195</v>
      </c>
    </row>
    <row r="106">
      <c r="A106" s="144" t="s">
        <v>63</v>
      </c>
      <c r="B106" s="123" t="s">
        <v>18</v>
      </c>
    </row>
    <row r="107">
      <c r="A107" s="140" t="s">
        <v>140</v>
      </c>
      <c r="B107" s="121"/>
    </row>
    <row r="108">
      <c r="A108" s="140" t="s">
        <v>163</v>
      </c>
      <c r="B108" s="121"/>
    </row>
    <row r="109">
      <c r="A109" s="140" t="s">
        <v>148</v>
      </c>
      <c r="B109" s="121"/>
    </row>
    <row r="110">
      <c r="A110" s="4" t="s">
        <v>196</v>
      </c>
      <c r="B110" s="126"/>
    </row>
    <row r="111">
      <c r="A111" s="4" t="s">
        <v>79</v>
      </c>
      <c r="B111" s="123" t="s">
        <v>189</v>
      </c>
    </row>
    <row r="112">
      <c r="A112" s="99" t="s">
        <v>165</v>
      </c>
      <c r="B112" s="121"/>
    </row>
    <row r="113">
      <c r="A113" s="141" t="s">
        <v>96</v>
      </c>
      <c r="B113" s="121"/>
    </row>
    <row r="114">
      <c r="A114" s="140" t="s">
        <v>175</v>
      </c>
      <c r="B114" s="121"/>
    </row>
    <row r="115">
      <c r="A115" s="125" t="s">
        <v>107</v>
      </c>
      <c r="B115" s="121"/>
    </row>
    <row r="116">
      <c r="A116" s="4" t="s">
        <v>88</v>
      </c>
      <c r="B116" s="121"/>
    </row>
    <row r="117">
      <c r="A117" s="140" t="s">
        <v>157</v>
      </c>
      <c r="B117" s="121"/>
    </row>
    <row r="118">
      <c r="A118" s="140" t="s">
        <v>156</v>
      </c>
      <c r="B118" s="121"/>
    </row>
    <row r="119">
      <c r="A119" s="140" t="s">
        <v>135</v>
      </c>
      <c r="B119" s="121"/>
    </row>
    <row r="120">
      <c r="A120" s="62" t="s">
        <v>34</v>
      </c>
      <c r="B120" s="123" t="s">
        <v>8</v>
      </c>
    </row>
    <row r="121">
      <c r="A121" s="145" t="s">
        <v>34</v>
      </c>
      <c r="B121" s="123" t="s">
        <v>9</v>
      </c>
    </row>
    <row r="122">
      <c r="A122" s="62" t="s">
        <v>39</v>
      </c>
      <c r="B122" s="123" t="s">
        <v>18</v>
      </c>
    </row>
    <row r="123">
      <c r="A123" s="125" t="s">
        <v>68</v>
      </c>
      <c r="B123" s="121"/>
    </row>
    <row r="124">
      <c r="A124" s="130" t="s">
        <v>35</v>
      </c>
      <c r="B124" s="123" t="s">
        <v>197</v>
      </c>
    </row>
    <row r="125">
      <c r="A125" s="54" t="s">
        <v>100</v>
      </c>
      <c r="B125" s="126"/>
    </row>
    <row r="126">
      <c r="A126" s="128" t="s">
        <v>42</v>
      </c>
      <c r="B126" s="121"/>
    </row>
    <row r="127">
      <c r="A127" s="140" t="s">
        <v>170</v>
      </c>
      <c r="B127" s="121"/>
    </row>
    <row r="128">
      <c r="A128" s="140" t="s">
        <v>124</v>
      </c>
      <c r="B128" s="121"/>
    </row>
    <row r="129">
      <c r="A129" s="140" t="s">
        <v>133</v>
      </c>
      <c r="B129" s="121"/>
    </row>
    <row r="130">
      <c r="A130" s="142" t="s">
        <v>90</v>
      </c>
      <c r="B130" s="121"/>
    </row>
    <row r="131">
      <c r="A131" s="54" t="s">
        <v>103</v>
      </c>
      <c r="B131" s="126"/>
    </row>
    <row r="132">
      <c r="A132" s="99" t="s">
        <v>123</v>
      </c>
      <c r="B132" s="121"/>
    </row>
    <row r="133">
      <c r="A133" s="99" t="s">
        <v>139</v>
      </c>
      <c r="B133" s="121"/>
    </row>
    <row r="134">
      <c r="A134" s="99" t="s">
        <v>160</v>
      </c>
      <c r="B134" s="121"/>
    </row>
    <row r="135">
      <c r="A135" s="140" t="s">
        <v>127</v>
      </c>
      <c r="B135" s="121"/>
    </row>
    <row r="136">
      <c r="A136" s="140" t="s">
        <v>131</v>
      </c>
      <c r="B136" s="121"/>
    </row>
    <row r="137">
      <c r="A137" s="140" t="s">
        <v>158</v>
      </c>
      <c r="B137" s="121"/>
    </row>
    <row r="138">
      <c r="A138" s="140" t="s">
        <v>150</v>
      </c>
      <c r="B138" s="121"/>
    </row>
    <row r="139">
      <c r="A139" s="62" t="s">
        <v>40</v>
      </c>
      <c r="B139" s="123" t="s">
        <v>20</v>
      </c>
    </row>
    <row r="140">
      <c r="A140" s="140"/>
      <c r="B140" s="121"/>
    </row>
    <row r="141">
      <c r="A141" s="62"/>
      <c r="B141" s="123"/>
    </row>
    <row r="142">
      <c r="A142" s="32"/>
      <c r="B142" s="123"/>
    </row>
    <row r="143">
      <c r="A143" s="32"/>
      <c r="B143" s="123"/>
    </row>
    <row r="144">
      <c r="A144" s="32"/>
      <c r="B144" s="123"/>
    </row>
    <row r="145">
      <c r="A145" s="32"/>
    </row>
  </sheetData>
  <dataValidations>
    <dataValidation type="list" allowBlank="1" sqref="B1:B144">
      <formula1>#REF!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63"/>
    <col customWidth="1" min="3" max="3" width="15.38"/>
    <col customWidth="1" min="4" max="4" width="14.88"/>
  </cols>
  <sheetData>
    <row r="1">
      <c r="A1" s="131"/>
      <c r="B1" s="128"/>
      <c r="C1" s="132"/>
      <c r="D1" s="133"/>
      <c r="E1" s="134"/>
      <c r="F1" s="135"/>
      <c r="G1" s="136"/>
      <c r="H1" s="137"/>
    </row>
    <row r="2">
      <c r="A2" s="131" t="s">
        <v>186</v>
      </c>
      <c r="B2" s="128" t="s">
        <v>30</v>
      </c>
      <c r="C2" s="132" t="s">
        <v>25</v>
      </c>
      <c r="D2" s="133" t="s">
        <v>53</v>
      </c>
      <c r="E2" s="134" t="s">
        <v>82</v>
      </c>
      <c r="F2" s="135" t="s">
        <v>86</v>
      </c>
      <c r="G2" s="136" t="s">
        <v>92</v>
      </c>
      <c r="H2" s="137" t="s">
        <v>107</v>
      </c>
    </row>
    <row r="3">
      <c r="A3" s="107" t="s">
        <v>187</v>
      </c>
      <c r="B3" s="125" t="s">
        <v>61</v>
      </c>
      <c r="C3" s="132" t="s">
        <v>42</v>
      </c>
      <c r="D3" s="133" t="s">
        <v>68</v>
      </c>
      <c r="E3" s="134" t="s">
        <v>84</v>
      </c>
      <c r="F3" s="135" t="s">
        <v>87</v>
      </c>
      <c r="G3" s="136" t="s">
        <v>96</v>
      </c>
      <c r="H3" s="137" t="s">
        <v>108</v>
      </c>
    </row>
    <row r="4">
      <c r="A4" s="139" t="s">
        <v>188</v>
      </c>
      <c r="B4" s="1"/>
      <c r="C4" s="54"/>
      <c r="D4" s="54" t="s">
        <v>7</v>
      </c>
      <c r="E4" s="134" t="s">
        <v>85</v>
      </c>
      <c r="F4" s="135" t="s">
        <v>89</v>
      </c>
      <c r="G4" s="136" t="s">
        <v>105</v>
      </c>
      <c r="H4" s="137" t="s">
        <v>109</v>
      </c>
    </row>
    <row r="5">
      <c r="C5" s="54"/>
      <c r="D5" s="54"/>
      <c r="E5" s="54"/>
      <c r="F5" s="135" t="s">
        <v>90</v>
      </c>
      <c r="G5" s="136" t="s">
        <v>106</v>
      </c>
      <c r="H5" s="137" t="s">
        <v>88</v>
      </c>
    </row>
    <row r="6">
      <c r="C6" s="1"/>
      <c r="E6" s="90"/>
      <c r="F6" s="135" t="s">
        <v>91</v>
      </c>
      <c r="G6" s="1"/>
      <c r="H6" s="1"/>
    </row>
    <row r="7">
      <c r="C7" s="1"/>
      <c r="E7" s="90"/>
      <c r="F7" s="1"/>
      <c r="G7" s="1"/>
      <c r="H7" s="1"/>
    </row>
    <row r="8">
      <c r="C8" s="1"/>
      <c r="F8" s="1"/>
      <c r="G8" s="1"/>
      <c r="H8" s="1"/>
    </row>
    <row r="9">
      <c r="C9" s="1"/>
      <c r="F9" s="1"/>
      <c r="G9" s="1"/>
      <c r="H9" s="1"/>
    </row>
    <row r="10">
      <c r="C10" s="1"/>
      <c r="F10" s="1"/>
      <c r="G10" s="1"/>
      <c r="H10" s="1"/>
    </row>
    <row r="11">
      <c r="C11" s="1"/>
      <c r="F11" s="1"/>
      <c r="G11" s="1"/>
      <c r="H11" s="1"/>
    </row>
    <row r="12">
      <c r="C12" s="1"/>
      <c r="F12" s="1"/>
      <c r="G12" s="1"/>
      <c r="H12" s="1"/>
    </row>
    <row r="13">
      <c r="C13" s="1"/>
      <c r="F13" s="1"/>
      <c r="G13" s="1"/>
      <c r="H13" s="1"/>
    </row>
    <row r="14">
      <c r="C14" s="1"/>
      <c r="F14" s="1"/>
      <c r="G14" s="1"/>
      <c r="H14" s="1"/>
    </row>
    <row r="15">
      <c r="C15" s="1"/>
      <c r="F15" s="1"/>
      <c r="G15" s="1"/>
      <c r="H15" s="1"/>
    </row>
    <row r="16">
      <c r="C16" s="1"/>
      <c r="F16" s="1"/>
      <c r="G16" s="1"/>
      <c r="H16" s="1"/>
    </row>
    <row r="17">
      <c r="C17" s="1"/>
      <c r="F17" s="1"/>
      <c r="G17" s="1"/>
      <c r="H17" s="1"/>
    </row>
    <row r="18">
      <c r="C18" s="1"/>
      <c r="F18" s="1"/>
      <c r="G18" s="1"/>
      <c r="H18" s="1"/>
    </row>
    <row r="19">
      <c r="C19" s="1"/>
      <c r="F19" s="1"/>
      <c r="G19" s="1"/>
      <c r="H19" s="1"/>
    </row>
    <row r="20">
      <c r="C20" s="1"/>
      <c r="F20" s="1"/>
      <c r="G20" s="1"/>
      <c r="H20" s="1"/>
    </row>
    <row r="21">
      <c r="C21" s="1"/>
      <c r="F21" s="1"/>
      <c r="G21" s="1"/>
      <c r="H21" s="1"/>
    </row>
    <row r="22">
      <c r="C22" s="1"/>
      <c r="F22" s="1"/>
      <c r="G22" s="1"/>
      <c r="H22" s="1"/>
    </row>
    <row r="23">
      <c r="C23" s="1"/>
      <c r="F23" s="1"/>
      <c r="G23" s="1"/>
      <c r="H23" s="1"/>
    </row>
    <row r="24">
      <c r="C24" s="1"/>
      <c r="F24" s="1"/>
      <c r="G24" s="1"/>
      <c r="H24" s="1"/>
    </row>
    <row r="25">
      <c r="C25" s="1"/>
      <c r="F25" s="1"/>
      <c r="G25" s="1"/>
      <c r="H25" s="1"/>
    </row>
    <row r="26">
      <c r="C26" s="1"/>
      <c r="F26" s="1"/>
      <c r="G26" s="1"/>
      <c r="H26" s="1"/>
    </row>
    <row r="27">
      <c r="C27" s="1"/>
      <c r="F27" s="1"/>
      <c r="G27" s="1"/>
      <c r="H27" s="1"/>
    </row>
    <row r="28">
      <c r="C28" s="1"/>
      <c r="F28" s="1"/>
      <c r="G28" s="1"/>
      <c r="H28" s="1"/>
    </row>
    <row r="29">
      <c r="C29" s="1"/>
      <c r="F29" s="1"/>
      <c r="G29" s="1"/>
      <c r="H29" s="1"/>
    </row>
    <row r="30">
      <c r="C30" s="1"/>
      <c r="F30" s="1"/>
      <c r="G30" s="1"/>
      <c r="H30" s="1"/>
    </row>
    <row r="31">
      <c r="C31" s="1"/>
      <c r="F31" s="1"/>
      <c r="G31" s="1"/>
      <c r="H31" s="1"/>
    </row>
    <row r="32">
      <c r="C32" s="1"/>
      <c r="F32" s="1"/>
      <c r="G32" s="1"/>
      <c r="H32" s="1"/>
    </row>
    <row r="33">
      <c r="C33" s="1"/>
      <c r="F33" s="1"/>
      <c r="G33" s="1"/>
      <c r="H33" s="1"/>
    </row>
    <row r="34">
      <c r="C34" s="1"/>
      <c r="F34" s="1"/>
      <c r="G34" s="1"/>
      <c r="H34" s="1"/>
    </row>
    <row r="35">
      <c r="C35" s="1"/>
      <c r="F35" s="1"/>
      <c r="G35" s="1"/>
      <c r="H35" s="1"/>
    </row>
    <row r="36">
      <c r="C36" s="1"/>
      <c r="F36" s="1"/>
      <c r="G36" s="1"/>
      <c r="H36" s="1"/>
    </row>
    <row r="37">
      <c r="C37" s="1"/>
      <c r="F37" s="1"/>
      <c r="G37" s="1"/>
      <c r="H37" s="1"/>
    </row>
    <row r="38">
      <c r="C38" s="1"/>
      <c r="F38" s="1"/>
      <c r="G38" s="1"/>
      <c r="H38" s="1"/>
    </row>
    <row r="39">
      <c r="C39" s="1"/>
      <c r="F39" s="1"/>
      <c r="G39" s="1"/>
      <c r="H39" s="1"/>
    </row>
    <row r="40">
      <c r="C40" s="1"/>
      <c r="F40" s="1"/>
      <c r="G40" s="1"/>
      <c r="H40" s="1"/>
    </row>
    <row r="41">
      <c r="C41" s="1"/>
      <c r="F41" s="1"/>
      <c r="G41" s="1"/>
      <c r="H41" s="1"/>
    </row>
    <row r="42">
      <c r="C42" s="1"/>
      <c r="F42" s="1"/>
      <c r="G42" s="1"/>
      <c r="H42" s="1"/>
    </row>
    <row r="43">
      <c r="C43" s="1"/>
      <c r="F43" s="1"/>
      <c r="G43" s="1"/>
      <c r="H43" s="1"/>
    </row>
    <row r="44">
      <c r="C44" s="1"/>
      <c r="F44" s="1"/>
      <c r="G44" s="1"/>
      <c r="H44" s="1"/>
    </row>
    <row r="45">
      <c r="C45" s="1"/>
      <c r="F45" s="1"/>
      <c r="G45" s="1"/>
      <c r="H45" s="1"/>
    </row>
    <row r="46">
      <c r="C46" s="1"/>
      <c r="F46" s="1"/>
      <c r="G46" s="1"/>
      <c r="H46" s="1"/>
    </row>
    <row r="47">
      <c r="C47" s="1"/>
      <c r="F47" s="1"/>
      <c r="G47" s="1"/>
      <c r="H47" s="1"/>
    </row>
    <row r="48">
      <c r="C48" s="1"/>
      <c r="F48" s="1"/>
      <c r="G48" s="1"/>
      <c r="H48" s="1"/>
    </row>
    <row r="49">
      <c r="C49" s="1"/>
      <c r="F49" s="1"/>
      <c r="G49" s="1"/>
      <c r="H49" s="1"/>
    </row>
    <row r="50">
      <c r="C50" s="1"/>
      <c r="F50" s="1"/>
      <c r="G50" s="1"/>
      <c r="H50" s="1"/>
    </row>
    <row r="51">
      <c r="C51" s="1"/>
      <c r="F51" s="1"/>
      <c r="G51" s="1"/>
      <c r="H51" s="1"/>
    </row>
    <row r="52">
      <c r="C52" s="1"/>
      <c r="F52" s="1"/>
      <c r="G52" s="1"/>
      <c r="H52" s="1"/>
    </row>
    <row r="53">
      <c r="C53" s="1"/>
      <c r="F53" s="1"/>
      <c r="G53" s="1"/>
      <c r="H53" s="1"/>
    </row>
    <row r="54">
      <c r="C54" s="1"/>
      <c r="F54" s="1"/>
      <c r="G54" s="1"/>
      <c r="H54" s="1"/>
    </row>
    <row r="55">
      <c r="C55" s="1"/>
      <c r="F55" s="1"/>
      <c r="G55" s="1"/>
      <c r="H55" s="1"/>
    </row>
    <row r="56">
      <c r="C56" s="1"/>
      <c r="F56" s="1"/>
      <c r="G56" s="1"/>
      <c r="H56" s="1"/>
    </row>
    <row r="57">
      <c r="C57" s="1"/>
      <c r="F57" s="1"/>
      <c r="G57" s="1"/>
      <c r="H57" s="1"/>
    </row>
    <row r="58">
      <c r="C58" s="1"/>
      <c r="F58" s="1"/>
      <c r="G58" s="1"/>
      <c r="H58" s="1"/>
    </row>
    <row r="59">
      <c r="C59" s="1"/>
      <c r="F59" s="1"/>
      <c r="G59" s="1"/>
      <c r="H59" s="1"/>
    </row>
    <row r="60">
      <c r="C60" s="1"/>
      <c r="F60" s="1"/>
      <c r="G60" s="1"/>
      <c r="H60" s="1"/>
    </row>
    <row r="61">
      <c r="C61" s="1"/>
      <c r="F61" s="1"/>
      <c r="G61" s="1"/>
      <c r="H61" s="1"/>
    </row>
    <row r="62">
      <c r="C62" s="1"/>
      <c r="F62" s="1"/>
      <c r="G62" s="1"/>
      <c r="H62" s="1"/>
    </row>
    <row r="63">
      <c r="C63" s="1"/>
      <c r="F63" s="1"/>
      <c r="G63" s="1"/>
      <c r="H63" s="1"/>
    </row>
    <row r="64">
      <c r="C64" s="1"/>
      <c r="F64" s="1"/>
      <c r="G64" s="1"/>
      <c r="H64" s="1"/>
    </row>
    <row r="65">
      <c r="C65" s="1"/>
      <c r="F65" s="1"/>
      <c r="G65" s="1"/>
      <c r="H65" s="1"/>
    </row>
    <row r="66">
      <c r="C66" s="1"/>
      <c r="F66" s="1"/>
      <c r="G66" s="1"/>
      <c r="H66" s="1"/>
    </row>
    <row r="67">
      <c r="C67" s="1"/>
      <c r="F67" s="1"/>
      <c r="G67" s="1"/>
      <c r="H67" s="1"/>
    </row>
    <row r="68">
      <c r="C68" s="1"/>
      <c r="F68" s="1"/>
      <c r="G68" s="1"/>
      <c r="H68" s="1"/>
    </row>
    <row r="69">
      <c r="C69" s="1"/>
      <c r="F69" s="1"/>
      <c r="G69" s="1"/>
      <c r="H69" s="1"/>
    </row>
    <row r="70">
      <c r="C70" s="1"/>
      <c r="F70" s="1"/>
      <c r="G70" s="1"/>
      <c r="H70" s="1"/>
    </row>
    <row r="71">
      <c r="C71" s="1"/>
      <c r="F71" s="1"/>
      <c r="G71" s="1"/>
      <c r="H71" s="1"/>
    </row>
    <row r="72">
      <c r="C72" s="1"/>
      <c r="F72" s="1"/>
      <c r="G72" s="1"/>
      <c r="H72" s="1"/>
    </row>
    <row r="73">
      <c r="C73" s="1"/>
      <c r="F73" s="1"/>
      <c r="G73" s="1"/>
      <c r="H73" s="1"/>
    </row>
    <row r="74">
      <c r="C74" s="1"/>
      <c r="F74" s="1"/>
      <c r="G74" s="1"/>
      <c r="H74" s="1"/>
    </row>
    <row r="75">
      <c r="C75" s="1"/>
      <c r="F75" s="1"/>
      <c r="G75" s="1"/>
      <c r="H75" s="1"/>
    </row>
    <row r="76">
      <c r="C76" s="1"/>
      <c r="F76" s="1"/>
      <c r="G76" s="1"/>
      <c r="H76" s="1"/>
    </row>
    <row r="77">
      <c r="C77" s="1"/>
      <c r="F77" s="1"/>
      <c r="G77" s="1"/>
      <c r="H77" s="1"/>
    </row>
    <row r="78">
      <c r="C78" s="1"/>
      <c r="F78" s="1"/>
      <c r="G78" s="1"/>
      <c r="H78" s="1"/>
    </row>
    <row r="79">
      <c r="C79" s="1"/>
      <c r="F79" s="1"/>
      <c r="G79" s="1"/>
      <c r="H79" s="1"/>
    </row>
    <row r="80">
      <c r="C80" s="1"/>
      <c r="F80" s="1"/>
      <c r="G80" s="1"/>
      <c r="H80" s="1"/>
    </row>
    <row r="81">
      <c r="C81" s="1"/>
      <c r="F81" s="1"/>
      <c r="G81" s="1"/>
      <c r="H81" s="1"/>
    </row>
    <row r="82">
      <c r="C82" s="1"/>
      <c r="F82" s="1"/>
      <c r="G82" s="1"/>
      <c r="H82" s="1"/>
    </row>
    <row r="83">
      <c r="C83" s="1"/>
      <c r="F83" s="1"/>
      <c r="G83" s="1"/>
      <c r="H83" s="1"/>
    </row>
    <row r="84">
      <c r="C84" s="1"/>
      <c r="F84" s="1"/>
      <c r="G84" s="1"/>
      <c r="H84" s="1"/>
    </row>
    <row r="85">
      <c r="C85" s="1"/>
      <c r="F85" s="1"/>
      <c r="G85" s="1"/>
      <c r="H85" s="1"/>
    </row>
    <row r="86">
      <c r="C86" s="1"/>
      <c r="F86" s="1"/>
      <c r="G86" s="1"/>
      <c r="H86" s="1"/>
    </row>
    <row r="87">
      <c r="C87" s="1"/>
      <c r="F87" s="1"/>
      <c r="G87" s="1"/>
      <c r="H87" s="1"/>
    </row>
    <row r="88">
      <c r="C88" s="1"/>
      <c r="F88" s="1"/>
      <c r="G88" s="1"/>
      <c r="H88" s="1"/>
    </row>
    <row r="89">
      <c r="C89" s="1"/>
      <c r="F89" s="1"/>
      <c r="G89" s="1"/>
      <c r="H89" s="1"/>
    </row>
    <row r="90">
      <c r="C90" s="1"/>
      <c r="F90" s="1"/>
      <c r="G90" s="1"/>
      <c r="H90" s="1"/>
    </row>
    <row r="91">
      <c r="C91" s="1"/>
      <c r="F91" s="1"/>
      <c r="G91" s="1"/>
      <c r="H91" s="1"/>
    </row>
    <row r="92">
      <c r="C92" s="1"/>
      <c r="F92" s="1"/>
      <c r="G92" s="1"/>
      <c r="H92" s="1"/>
    </row>
    <row r="93">
      <c r="C93" s="1"/>
      <c r="F93" s="1"/>
      <c r="G93" s="1"/>
      <c r="H93" s="1"/>
    </row>
    <row r="94">
      <c r="C94" s="1"/>
      <c r="F94" s="1"/>
      <c r="G94" s="1"/>
      <c r="H94" s="1"/>
    </row>
    <row r="95">
      <c r="C95" s="1"/>
      <c r="F95" s="1"/>
      <c r="G95" s="1"/>
      <c r="H95" s="1"/>
    </row>
    <row r="96">
      <c r="C96" s="1"/>
      <c r="F96" s="1"/>
      <c r="G96" s="1"/>
      <c r="H96" s="1"/>
    </row>
    <row r="97">
      <c r="C97" s="1"/>
      <c r="F97" s="1"/>
      <c r="G97" s="1"/>
      <c r="H97" s="1"/>
    </row>
    <row r="98">
      <c r="C98" s="1"/>
      <c r="F98" s="1"/>
      <c r="G98" s="1"/>
      <c r="H98" s="1"/>
    </row>
    <row r="99">
      <c r="C99" s="1"/>
      <c r="F99" s="1"/>
      <c r="G99" s="1"/>
      <c r="H99" s="1"/>
    </row>
    <row r="100">
      <c r="C100" s="1"/>
      <c r="F100" s="1"/>
      <c r="G100" s="1"/>
      <c r="H100" s="1"/>
    </row>
    <row r="101">
      <c r="C101" s="1"/>
      <c r="F101" s="1"/>
      <c r="G101" s="1"/>
      <c r="H101" s="1"/>
    </row>
    <row r="102">
      <c r="C102" s="1"/>
      <c r="F102" s="1"/>
      <c r="G102" s="1"/>
      <c r="H102" s="1"/>
    </row>
    <row r="103">
      <c r="C103" s="1"/>
      <c r="F103" s="1"/>
      <c r="G103" s="1"/>
      <c r="H103" s="1"/>
    </row>
    <row r="104">
      <c r="C104" s="1"/>
      <c r="F104" s="1"/>
      <c r="G104" s="1"/>
      <c r="H104" s="1"/>
    </row>
    <row r="105">
      <c r="C105" s="1"/>
      <c r="F105" s="1"/>
      <c r="G105" s="1"/>
      <c r="H105" s="1"/>
    </row>
    <row r="106">
      <c r="C106" s="1"/>
      <c r="F106" s="1"/>
      <c r="G106" s="1"/>
      <c r="H106" s="1"/>
    </row>
    <row r="107">
      <c r="C107" s="1"/>
      <c r="F107" s="1"/>
      <c r="G107" s="1"/>
      <c r="H107" s="1"/>
    </row>
    <row r="108">
      <c r="C108" s="1"/>
      <c r="F108" s="1"/>
      <c r="G108" s="1"/>
      <c r="H108" s="1"/>
    </row>
    <row r="109">
      <c r="C109" s="1"/>
      <c r="F109" s="1"/>
      <c r="G109" s="1"/>
      <c r="H109" s="1"/>
    </row>
    <row r="110">
      <c r="C110" s="1"/>
      <c r="F110" s="1"/>
      <c r="G110" s="1"/>
      <c r="H110" s="1"/>
    </row>
    <row r="111">
      <c r="C111" s="1"/>
      <c r="F111" s="1"/>
      <c r="G111" s="1"/>
      <c r="H111" s="1"/>
    </row>
    <row r="112">
      <c r="C112" s="1"/>
      <c r="F112" s="1"/>
      <c r="G112" s="1"/>
      <c r="H112" s="1"/>
    </row>
    <row r="113">
      <c r="C113" s="1"/>
      <c r="F113" s="1"/>
      <c r="G113" s="1"/>
      <c r="H113" s="1"/>
    </row>
    <row r="114">
      <c r="C114" s="1"/>
      <c r="F114" s="1"/>
      <c r="G114" s="1"/>
      <c r="H114" s="1"/>
    </row>
    <row r="115">
      <c r="C115" s="1"/>
      <c r="F115" s="1"/>
      <c r="G115" s="1"/>
      <c r="H115" s="1"/>
    </row>
    <row r="116">
      <c r="C116" s="1"/>
      <c r="F116" s="1"/>
      <c r="G116" s="1"/>
      <c r="H116" s="1"/>
    </row>
    <row r="117">
      <c r="C117" s="1"/>
      <c r="F117" s="1"/>
      <c r="G117" s="1"/>
      <c r="H117" s="1"/>
    </row>
    <row r="118">
      <c r="C118" s="1"/>
      <c r="F118" s="1"/>
      <c r="G118" s="1"/>
      <c r="H118" s="1"/>
    </row>
    <row r="119">
      <c r="C119" s="1"/>
      <c r="F119" s="1"/>
      <c r="G119" s="1"/>
      <c r="H119" s="1"/>
    </row>
    <row r="120">
      <c r="C120" s="1"/>
      <c r="F120" s="1"/>
      <c r="G120" s="1"/>
      <c r="H120" s="1"/>
    </row>
    <row r="121">
      <c r="C121" s="1"/>
      <c r="F121" s="1"/>
      <c r="G121" s="1"/>
      <c r="H121" s="1"/>
    </row>
    <row r="122">
      <c r="C122" s="1"/>
      <c r="F122" s="1"/>
      <c r="G122" s="1"/>
      <c r="H122" s="1"/>
    </row>
    <row r="123">
      <c r="C123" s="1"/>
      <c r="F123" s="1"/>
      <c r="G123" s="1"/>
      <c r="H123" s="1"/>
    </row>
    <row r="124">
      <c r="C124" s="1"/>
      <c r="F124" s="1"/>
      <c r="G124" s="1"/>
      <c r="H124" s="1"/>
    </row>
    <row r="125">
      <c r="C125" s="1"/>
      <c r="F125" s="1"/>
      <c r="G125" s="1"/>
      <c r="H125" s="1"/>
    </row>
    <row r="126">
      <c r="C126" s="1"/>
      <c r="F126" s="1"/>
      <c r="G126" s="1"/>
      <c r="H126" s="1"/>
    </row>
    <row r="127">
      <c r="C127" s="1"/>
      <c r="F127" s="1"/>
      <c r="G127" s="1"/>
      <c r="H127" s="1"/>
    </row>
    <row r="128">
      <c r="C128" s="1"/>
      <c r="F128" s="1"/>
      <c r="G128" s="1"/>
      <c r="H128" s="1"/>
    </row>
    <row r="129">
      <c r="C129" s="1"/>
      <c r="F129" s="1"/>
      <c r="G129" s="1"/>
      <c r="H129" s="1"/>
    </row>
    <row r="130">
      <c r="C130" s="1"/>
      <c r="F130" s="1"/>
      <c r="G130" s="1"/>
      <c r="H130" s="1"/>
    </row>
    <row r="131">
      <c r="C131" s="1"/>
      <c r="F131" s="1"/>
      <c r="G131" s="1"/>
      <c r="H131" s="1"/>
    </row>
    <row r="132">
      <c r="C132" s="1"/>
      <c r="F132" s="1"/>
      <c r="G132" s="1"/>
      <c r="H132" s="1"/>
    </row>
    <row r="133">
      <c r="C133" s="1"/>
      <c r="F133" s="1"/>
      <c r="G133" s="1"/>
      <c r="H133" s="1"/>
    </row>
    <row r="134">
      <c r="C134" s="1"/>
      <c r="F134" s="1"/>
      <c r="G134" s="1"/>
      <c r="H134" s="1"/>
    </row>
    <row r="135">
      <c r="C135" s="1"/>
      <c r="F135" s="1"/>
      <c r="G135" s="1"/>
      <c r="H135" s="1"/>
    </row>
    <row r="136">
      <c r="C136" s="1"/>
      <c r="F136" s="1"/>
      <c r="G136" s="1"/>
      <c r="H136" s="1"/>
    </row>
    <row r="137">
      <c r="C137" s="1"/>
      <c r="F137" s="1"/>
      <c r="G137" s="1"/>
      <c r="H137" s="1"/>
    </row>
    <row r="138">
      <c r="C138" s="1"/>
      <c r="F138" s="1"/>
      <c r="G138" s="1"/>
      <c r="H138" s="1"/>
    </row>
    <row r="139">
      <c r="C139" s="1"/>
      <c r="F139" s="1"/>
      <c r="G139" s="1"/>
      <c r="H139" s="1"/>
    </row>
    <row r="140">
      <c r="C140" s="1"/>
      <c r="F140" s="1"/>
      <c r="G140" s="1"/>
      <c r="H140" s="1"/>
    </row>
    <row r="141">
      <c r="C141" s="1"/>
      <c r="F141" s="1"/>
      <c r="G141" s="1"/>
      <c r="H141" s="1"/>
    </row>
    <row r="142">
      <c r="C142" s="1"/>
      <c r="F142" s="1"/>
      <c r="G142" s="1"/>
      <c r="H142" s="1"/>
    </row>
    <row r="143">
      <c r="C143" s="1"/>
      <c r="F143" s="1"/>
      <c r="G143" s="1"/>
      <c r="H143" s="1"/>
    </row>
    <row r="144">
      <c r="C144" s="1"/>
      <c r="F144" s="1"/>
      <c r="G144" s="1"/>
      <c r="H144" s="1"/>
    </row>
    <row r="145">
      <c r="C145" s="1"/>
      <c r="F145" s="1"/>
      <c r="G145" s="1"/>
      <c r="H145" s="1"/>
    </row>
    <row r="146">
      <c r="C146" s="1"/>
      <c r="F146" s="1"/>
      <c r="G146" s="1"/>
      <c r="H146" s="1"/>
    </row>
    <row r="147">
      <c r="C147" s="1"/>
      <c r="F147" s="1"/>
      <c r="G147" s="1"/>
      <c r="H147" s="1"/>
    </row>
    <row r="148">
      <c r="C148" s="1"/>
      <c r="F148" s="1"/>
      <c r="G148" s="1"/>
      <c r="H148" s="1"/>
    </row>
    <row r="149">
      <c r="C149" s="1"/>
      <c r="F149" s="1"/>
      <c r="G149" s="1"/>
      <c r="H149" s="1"/>
    </row>
    <row r="150">
      <c r="C150" s="1"/>
      <c r="F150" s="1"/>
      <c r="G150" s="1"/>
      <c r="H150" s="1"/>
    </row>
    <row r="151">
      <c r="C151" s="1"/>
      <c r="F151" s="1"/>
      <c r="G151" s="1"/>
      <c r="H151" s="1"/>
    </row>
    <row r="152">
      <c r="C152" s="1"/>
      <c r="F152" s="1"/>
      <c r="G152" s="1"/>
      <c r="H152" s="1"/>
    </row>
    <row r="153">
      <c r="C153" s="1"/>
      <c r="F153" s="1"/>
      <c r="G153" s="1"/>
      <c r="H153" s="1"/>
    </row>
    <row r="154">
      <c r="C154" s="1"/>
      <c r="F154" s="1"/>
      <c r="G154" s="1"/>
      <c r="H154" s="1"/>
    </row>
    <row r="155">
      <c r="C155" s="1"/>
      <c r="F155" s="1"/>
      <c r="G155" s="1"/>
      <c r="H155" s="1"/>
    </row>
    <row r="156">
      <c r="C156" s="1"/>
      <c r="F156" s="1"/>
      <c r="G156" s="1"/>
      <c r="H156" s="1"/>
    </row>
    <row r="157">
      <c r="C157" s="1"/>
      <c r="F157" s="1"/>
      <c r="G157" s="1"/>
      <c r="H157" s="1"/>
    </row>
    <row r="158">
      <c r="C158" s="1"/>
      <c r="F158" s="1"/>
      <c r="G158" s="1"/>
      <c r="H158" s="1"/>
    </row>
    <row r="159">
      <c r="C159" s="1"/>
      <c r="F159" s="1"/>
      <c r="G159" s="1"/>
      <c r="H159" s="1"/>
    </row>
    <row r="160">
      <c r="C160" s="1"/>
      <c r="F160" s="1"/>
      <c r="G160" s="1"/>
      <c r="H160" s="1"/>
    </row>
    <row r="161">
      <c r="C161" s="1"/>
      <c r="F161" s="1"/>
      <c r="G161" s="1"/>
      <c r="H161" s="1"/>
    </row>
    <row r="162">
      <c r="C162" s="1"/>
      <c r="F162" s="1"/>
      <c r="G162" s="1"/>
      <c r="H162" s="1"/>
    </row>
    <row r="163">
      <c r="C163" s="1"/>
      <c r="F163" s="1"/>
      <c r="G163" s="1"/>
      <c r="H163" s="1"/>
    </row>
    <row r="164">
      <c r="C164" s="1"/>
      <c r="F164" s="1"/>
      <c r="G164" s="1"/>
      <c r="H164" s="1"/>
    </row>
    <row r="165">
      <c r="C165" s="1"/>
      <c r="F165" s="1"/>
      <c r="G165" s="1"/>
      <c r="H165" s="1"/>
    </row>
    <row r="166">
      <c r="C166" s="1"/>
      <c r="F166" s="1"/>
      <c r="G166" s="1"/>
      <c r="H166" s="1"/>
    </row>
    <row r="167">
      <c r="C167" s="1"/>
      <c r="F167" s="1"/>
      <c r="G167" s="1"/>
      <c r="H167" s="1"/>
    </row>
    <row r="168">
      <c r="C168" s="1"/>
      <c r="F168" s="1"/>
      <c r="G168" s="1"/>
      <c r="H168" s="1"/>
    </row>
    <row r="169">
      <c r="C169" s="1"/>
      <c r="F169" s="1"/>
      <c r="G169" s="1"/>
      <c r="H169" s="1"/>
    </row>
    <row r="170">
      <c r="C170" s="1"/>
      <c r="F170" s="1"/>
      <c r="G170" s="1"/>
      <c r="H170" s="1"/>
    </row>
    <row r="171">
      <c r="C171" s="1"/>
      <c r="F171" s="1"/>
      <c r="G171" s="1"/>
      <c r="H171" s="1"/>
    </row>
    <row r="172">
      <c r="C172" s="1"/>
      <c r="F172" s="1"/>
      <c r="G172" s="1"/>
      <c r="H172" s="1"/>
    </row>
    <row r="173">
      <c r="C173" s="1"/>
      <c r="F173" s="1"/>
      <c r="G173" s="1"/>
      <c r="H173" s="1"/>
    </row>
    <row r="174">
      <c r="C174" s="1"/>
      <c r="F174" s="1"/>
      <c r="G174" s="1"/>
      <c r="H174" s="1"/>
    </row>
    <row r="175">
      <c r="C175" s="1"/>
      <c r="F175" s="1"/>
      <c r="G175" s="1"/>
      <c r="H175" s="1"/>
    </row>
    <row r="176">
      <c r="C176" s="1"/>
      <c r="F176" s="1"/>
      <c r="G176" s="1"/>
      <c r="H176" s="1"/>
    </row>
    <row r="177">
      <c r="C177" s="1"/>
      <c r="F177" s="1"/>
      <c r="G177" s="1"/>
      <c r="H177" s="1"/>
    </row>
    <row r="178">
      <c r="C178" s="1"/>
      <c r="F178" s="1"/>
      <c r="G178" s="1"/>
      <c r="H178" s="1"/>
    </row>
    <row r="179">
      <c r="C179" s="1"/>
      <c r="F179" s="1"/>
      <c r="G179" s="1"/>
      <c r="H179" s="1"/>
    </row>
    <row r="180">
      <c r="C180" s="1"/>
      <c r="F180" s="1"/>
      <c r="G180" s="1"/>
      <c r="H180" s="1"/>
    </row>
    <row r="181">
      <c r="C181" s="1"/>
      <c r="F181" s="1"/>
      <c r="G181" s="1"/>
      <c r="H181" s="1"/>
    </row>
    <row r="182">
      <c r="C182" s="1"/>
      <c r="F182" s="1"/>
      <c r="G182" s="1"/>
      <c r="H182" s="1"/>
    </row>
    <row r="183">
      <c r="C183" s="1"/>
      <c r="F183" s="1"/>
      <c r="G183" s="1"/>
      <c r="H183" s="1"/>
    </row>
    <row r="184">
      <c r="C184" s="1"/>
      <c r="F184" s="1"/>
      <c r="G184" s="1"/>
      <c r="H184" s="1"/>
    </row>
    <row r="185">
      <c r="C185" s="1"/>
      <c r="F185" s="1"/>
      <c r="G185" s="1"/>
      <c r="H185" s="1"/>
    </row>
    <row r="186">
      <c r="C186" s="1"/>
      <c r="F186" s="1"/>
      <c r="G186" s="1"/>
      <c r="H186" s="1"/>
    </row>
    <row r="187">
      <c r="C187" s="1"/>
      <c r="F187" s="1"/>
      <c r="G187" s="1"/>
      <c r="H187" s="1"/>
    </row>
    <row r="188">
      <c r="C188" s="1"/>
      <c r="F188" s="1"/>
      <c r="G188" s="1"/>
      <c r="H188" s="1"/>
    </row>
    <row r="189">
      <c r="C189" s="1"/>
      <c r="F189" s="1"/>
      <c r="G189" s="1"/>
      <c r="H189" s="1"/>
    </row>
    <row r="190">
      <c r="C190" s="1"/>
      <c r="F190" s="1"/>
      <c r="G190" s="1"/>
      <c r="H190" s="1"/>
    </row>
    <row r="191">
      <c r="C191" s="1"/>
      <c r="F191" s="1"/>
      <c r="G191" s="1"/>
      <c r="H191" s="1"/>
    </row>
    <row r="192">
      <c r="C192" s="1"/>
      <c r="F192" s="1"/>
      <c r="G192" s="1"/>
      <c r="H192" s="1"/>
    </row>
    <row r="193">
      <c r="C193" s="1"/>
      <c r="F193" s="1"/>
      <c r="G193" s="1"/>
      <c r="H193" s="1"/>
    </row>
    <row r="194">
      <c r="C194" s="1"/>
      <c r="F194" s="1"/>
      <c r="G194" s="1"/>
      <c r="H194" s="1"/>
    </row>
    <row r="195">
      <c r="C195" s="1"/>
      <c r="F195" s="1"/>
      <c r="G195" s="1"/>
      <c r="H195" s="1"/>
    </row>
    <row r="196">
      <c r="C196" s="1"/>
      <c r="F196" s="1"/>
      <c r="G196" s="1"/>
      <c r="H196" s="1"/>
    </row>
    <row r="197">
      <c r="C197" s="1"/>
      <c r="F197" s="1"/>
      <c r="G197" s="1"/>
      <c r="H197" s="1"/>
    </row>
    <row r="198">
      <c r="C198" s="1"/>
      <c r="F198" s="1"/>
      <c r="G198" s="1"/>
      <c r="H198" s="1"/>
    </row>
    <row r="199">
      <c r="C199" s="1"/>
      <c r="F199" s="1"/>
      <c r="G199" s="1"/>
      <c r="H199" s="1"/>
    </row>
    <row r="200">
      <c r="C200" s="1"/>
      <c r="F200" s="1"/>
      <c r="G200" s="1"/>
      <c r="H200" s="1"/>
    </row>
    <row r="201">
      <c r="C201" s="1"/>
      <c r="F201" s="1"/>
      <c r="G201" s="1"/>
      <c r="H201" s="1"/>
    </row>
    <row r="202">
      <c r="C202" s="1"/>
      <c r="F202" s="1"/>
      <c r="G202" s="1"/>
      <c r="H202" s="1"/>
    </row>
    <row r="203">
      <c r="C203" s="1"/>
      <c r="F203" s="1"/>
      <c r="G203" s="1"/>
      <c r="H203" s="1"/>
    </row>
    <row r="204">
      <c r="C204" s="1"/>
      <c r="F204" s="1"/>
      <c r="G204" s="1"/>
      <c r="H204" s="1"/>
    </row>
    <row r="205">
      <c r="C205" s="1"/>
      <c r="F205" s="1"/>
      <c r="G205" s="1"/>
      <c r="H205" s="1"/>
    </row>
    <row r="206">
      <c r="C206" s="1"/>
      <c r="F206" s="1"/>
      <c r="G206" s="1"/>
      <c r="H206" s="1"/>
    </row>
    <row r="207">
      <c r="C207" s="1"/>
      <c r="F207" s="1"/>
      <c r="G207" s="1"/>
      <c r="H207" s="1"/>
    </row>
    <row r="208">
      <c r="C208" s="1"/>
      <c r="F208" s="1"/>
      <c r="G208" s="1"/>
      <c r="H208" s="1"/>
    </row>
    <row r="209">
      <c r="C209" s="1"/>
      <c r="F209" s="1"/>
      <c r="G209" s="1"/>
      <c r="H209" s="1"/>
    </row>
    <row r="210">
      <c r="C210" s="1"/>
      <c r="F210" s="1"/>
      <c r="G210" s="1"/>
      <c r="H210" s="1"/>
    </row>
    <row r="211">
      <c r="C211" s="1"/>
      <c r="F211" s="1"/>
      <c r="G211" s="1"/>
      <c r="H211" s="1"/>
    </row>
    <row r="212">
      <c r="C212" s="1"/>
      <c r="F212" s="1"/>
      <c r="G212" s="1"/>
      <c r="H212" s="1"/>
    </row>
    <row r="213">
      <c r="C213" s="1"/>
      <c r="F213" s="1"/>
      <c r="G213" s="1"/>
      <c r="H213" s="1"/>
    </row>
    <row r="214">
      <c r="C214" s="1"/>
      <c r="F214" s="1"/>
      <c r="G214" s="1"/>
      <c r="H214" s="1"/>
    </row>
    <row r="215">
      <c r="C215" s="1"/>
      <c r="F215" s="1"/>
      <c r="G215" s="1"/>
      <c r="H215" s="1"/>
    </row>
    <row r="216">
      <c r="C216" s="1"/>
      <c r="F216" s="1"/>
      <c r="G216" s="1"/>
      <c r="H216" s="1"/>
    </row>
    <row r="217">
      <c r="C217" s="1"/>
      <c r="F217" s="1"/>
      <c r="G217" s="1"/>
      <c r="H217" s="1"/>
    </row>
    <row r="218">
      <c r="C218" s="1"/>
      <c r="F218" s="1"/>
      <c r="G218" s="1"/>
      <c r="H218" s="1"/>
    </row>
    <row r="219">
      <c r="C219" s="1"/>
      <c r="F219" s="1"/>
      <c r="G219" s="1"/>
      <c r="H219" s="1"/>
    </row>
    <row r="220">
      <c r="C220" s="1"/>
      <c r="F220" s="1"/>
      <c r="G220" s="1"/>
      <c r="H220" s="1"/>
    </row>
    <row r="221">
      <c r="C221" s="1"/>
      <c r="F221" s="1"/>
      <c r="G221" s="1"/>
      <c r="H221" s="1"/>
    </row>
    <row r="222">
      <c r="C222" s="1"/>
      <c r="F222" s="1"/>
      <c r="G222" s="1"/>
      <c r="H222" s="1"/>
    </row>
    <row r="223">
      <c r="C223" s="1"/>
      <c r="F223" s="1"/>
      <c r="G223" s="1"/>
      <c r="H223" s="1"/>
    </row>
    <row r="224">
      <c r="C224" s="1"/>
      <c r="F224" s="1"/>
      <c r="G224" s="1"/>
      <c r="H224" s="1"/>
    </row>
    <row r="225">
      <c r="C225" s="1"/>
      <c r="F225" s="1"/>
      <c r="G225" s="1"/>
      <c r="H225" s="1"/>
    </row>
    <row r="226">
      <c r="C226" s="1"/>
      <c r="F226" s="1"/>
      <c r="G226" s="1"/>
      <c r="H226" s="1"/>
    </row>
    <row r="227">
      <c r="C227" s="1"/>
      <c r="F227" s="1"/>
      <c r="G227" s="1"/>
      <c r="H227" s="1"/>
    </row>
    <row r="228">
      <c r="C228" s="1"/>
      <c r="F228" s="1"/>
      <c r="G228" s="1"/>
      <c r="H228" s="1"/>
    </row>
    <row r="229">
      <c r="C229" s="1"/>
      <c r="F229" s="1"/>
      <c r="G229" s="1"/>
      <c r="H229" s="1"/>
    </row>
    <row r="230">
      <c r="C230" s="1"/>
      <c r="F230" s="1"/>
      <c r="G230" s="1"/>
      <c r="H230" s="1"/>
    </row>
    <row r="231">
      <c r="C231" s="1"/>
      <c r="F231" s="1"/>
      <c r="G231" s="1"/>
      <c r="H231" s="1"/>
    </row>
    <row r="232">
      <c r="C232" s="1"/>
      <c r="F232" s="1"/>
      <c r="G232" s="1"/>
      <c r="H232" s="1"/>
    </row>
    <row r="233">
      <c r="C233" s="1"/>
      <c r="F233" s="1"/>
      <c r="G233" s="1"/>
      <c r="H233" s="1"/>
    </row>
    <row r="234">
      <c r="C234" s="1"/>
      <c r="F234" s="1"/>
      <c r="G234" s="1"/>
      <c r="H234" s="1"/>
    </row>
    <row r="235">
      <c r="C235" s="1"/>
      <c r="F235" s="1"/>
      <c r="G235" s="1"/>
      <c r="H235" s="1"/>
    </row>
    <row r="236">
      <c r="C236" s="1"/>
      <c r="F236" s="1"/>
      <c r="G236" s="1"/>
      <c r="H236" s="1"/>
    </row>
    <row r="237">
      <c r="C237" s="1"/>
      <c r="F237" s="1"/>
      <c r="G237" s="1"/>
      <c r="H237" s="1"/>
    </row>
    <row r="238">
      <c r="C238" s="1"/>
      <c r="F238" s="1"/>
      <c r="G238" s="1"/>
      <c r="H238" s="1"/>
    </row>
    <row r="239">
      <c r="C239" s="1"/>
      <c r="F239" s="1"/>
      <c r="G239" s="1"/>
      <c r="H239" s="1"/>
    </row>
    <row r="240">
      <c r="C240" s="1"/>
      <c r="F240" s="1"/>
      <c r="G240" s="1"/>
      <c r="H240" s="1"/>
    </row>
    <row r="241">
      <c r="C241" s="1"/>
      <c r="F241" s="1"/>
      <c r="G241" s="1"/>
      <c r="H241" s="1"/>
    </row>
    <row r="242">
      <c r="C242" s="1"/>
      <c r="F242" s="1"/>
      <c r="G242" s="1"/>
      <c r="H242" s="1"/>
    </row>
    <row r="243">
      <c r="C243" s="1"/>
      <c r="F243" s="1"/>
      <c r="G243" s="1"/>
      <c r="H243" s="1"/>
    </row>
    <row r="244">
      <c r="C244" s="1"/>
      <c r="F244" s="1"/>
      <c r="G244" s="1"/>
      <c r="H244" s="1"/>
    </row>
    <row r="245">
      <c r="C245" s="1"/>
      <c r="F245" s="1"/>
      <c r="G245" s="1"/>
      <c r="H245" s="1"/>
    </row>
    <row r="246">
      <c r="C246" s="1"/>
      <c r="F246" s="1"/>
      <c r="G246" s="1"/>
      <c r="H246" s="1"/>
    </row>
    <row r="247">
      <c r="C247" s="1"/>
      <c r="F247" s="1"/>
      <c r="G247" s="1"/>
      <c r="H247" s="1"/>
    </row>
    <row r="248">
      <c r="C248" s="1"/>
      <c r="F248" s="1"/>
      <c r="G248" s="1"/>
      <c r="H248" s="1"/>
    </row>
    <row r="249">
      <c r="C249" s="1"/>
      <c r="F249" s="1"/>
      <c r="G249" s="1"/>
      <c r="H249" s="1"/>
    </row>
    <row r="250">
      <c r="C250" s="1"/>
      <c r="F250" s="1"/>
      <c r="G250" s="1"/>
      <c r="H250" s="1"/>
    </row>
    <row r="251">
      <c r="C251" s="1"/>
      <c r="F251" s="1"/>
      <c r="G251" s="1"/>
      <c r="H251" s="1"/>
    </row>
    <row r="252">
      <c r="C252" s="1"/>
      <c r="F252" s="1"/>
      <c r="G252" s="1"/>
      <c r="H252" s="1"/>
    </row>
    <row r="253">
      <c r="C253" s="1"/>
      <c r="F253" s="1"/>
      <c r="G253" s="1"/>
      <c r="H253" s="1"/>
    </row>
    <row r="254">
      <c r="C254" s="1"/>
      <c r="F254" s="1"/>
      <c r="G254" s="1"/>
      <c r="H254" s="1"/>
    </row>
    <row r="255">
      <c r="C255" s="1"/>
      <c r="F255" s="1"/>
      <c r="G255" s="1"/>
      <c r="H255" s="1"/>
    </row>
    <row r="256">
      <c r="C256" s="1"/>
      <c r="F256" s="1"/>
      <c r="G256" s="1"/>
      <c r="H256" s="1"/>
    </row>
    <row r="257">
      <c r="C257" s="1"/>
      <c r="F257" s="1"/>
      <c r="G257" s="1"/>
      <c r="H257" s="1"/>
    </row>
    <row r="258">
      <c r="C258" s="1"/>
      <c r="F258" s="1"/>
      <c r="G258" s="1"/>
      <c r="H258" s="1"/>
    </row>
    <row r="259">
      <c r="C259" s="1"/>
      <c r="F259" s="1"/>
      <c r="G259" s="1"/>
      <c r="H259" s="1"/>
    </row>
    <row r="260">
      <c r="C260" s="1"/>
      <c r="F260" s="1"/>
      <c r="G260" s="1"/>
      <c r="H260" s="1"/>
    </row>
    <row r="261">
      <c r="C261" s="1"/>
      <c r="F261" s="1"/>
      <c r="G261" s="1"/>
      <c r="H261" s="1"/>
    </row>
    <row r="262">
      <c r="C262" s="1"/>
      <c r="F262" s="1"/>
      <c r="G262" s="1"/>
      <c r="H262" s="1"/>
    </row>
    <row r="263">
      <c r="C263" s="1"/>
      <c r="F263" s="1"/>
      <c r="G263" s="1"/>
      <c r="H263" s="1"/>
    </row>
    <row r="264">
      <c r="C264" s="1"/>
      <c r="F264" s="1"/>
      <c r="G264" s="1"/>
      <c r="H264" s="1"/>
    </row>
    <row r="265">
      <c r="C265" s="1"/>
      <c r="F265" s="1"/>
      <c r="G265" s="1"/>
      <c r="H265" s="1"/>
    </row>
    <row r="266">
      <c r="C266" s="1"/>
      <c r="F266" s="1"/>
      <c r="G266" s="1"/>
      <c r="H266" s="1"/>
    </row>
    <row r="267">
      <c r="C267" s="1"/>
      <c r="F267" s="1"/>
      <c r="G267" s="1"/>
      <c r="H267" s="1"/>
    </row>
    <row r="268">
      <c r="C268" s="1"/>
      <c r="F268" s="1"/>
      <c r="G268" s="1"/>
      <c r="H268" s="1"/>
    </row>
    <row r="269">
      <c r="C269" s="1"/>
      <c r="F269" s="1"/>
      <c r="G269" s="1"/>
      <c r="H269" s="1"/>
    </row>
    <row r="270">
      <c r="C270" s="1"/>
      <c r="F270" s="1"/>
      <c r="G270" s="1"/>
      <c r="H270" s="1"/>
    </row>
    <row r="271">
      <c r="C271" s="1"/>
      <c r="F271" s="1"/>
      <c r="G271" s="1"/>
      <c r="H271" s="1"/>
    </row>
    <row r="272">
      <c r="C272" s="1"/>
      <c r="F272" s="1"/>
      <c r="G272" s="1"/>
      <c r="H272" s="1"/>
    </row>
    <row r="273">
      <c r="C273" s="1"/>
      <c r="F273" s="1"/>
      <c r="G273" s="1"/>
      <c r="H273" s="1"/>
    </row>
    <row r="274">
      <c r="C274" s="1"/>
      <c r="F274" s="1"/>
      <c r="G274" s="1"/>
      <c r="H274" s="1"/>
    </row>
    <row r="275">
      <c r="C275" s="1"/>
      <c r="F275" s="1"/>
      <c r="G275" s="1"/>
      <c r="H275" s="1"/>
    </row>
    <row r="276">
      <c r="C276" s="1"/>
      <c r="F276" s="1"/>
      <c r="G276" s="1"/>
      <c r="H276" s="1"/>
    </row>
    <row r="277">
      <c r="C277" s="1"/>
      <c r="F277" s="1"/>
      <c r="G277" s="1"/>
      <c r="H277" s="1"/>
    </row>
    <row r="278">
      <c r="C278" s="1"/>
      <c r="F278" s="1"/>
      <c r="G278" s="1"/>
      <c r="H278" s="1"/>
    </row>
    <row r="279">
      <c r="C279" s="1"/>
      <c r="F279" s="1"/>
      <c r="G279" s="1"/>
      <c r="H279" s="1"/>
    </row>
    <row r="280">
      <c r="C280" s="1"/>
      <c r="F280" s="1"/>
      <c r="G280" s="1"/>
      <c r="H280" s="1"/>
    </row>
    <row r="281">
      <c r="C281" s="1"/>
      <c r="F281" s="1"/>
      <c r="G281" s="1"/>
      <c r="H281" s="1"/>
    </row>
    <row r="282">
      <c r="C282" s="1"/>
      <c r="F282" s="1"/>
      <c r="G282" s="1"/>
      <c r="H282" s="1"/>
    </row>
    <row r="283">
      <c r="C283" s="1"/>
      <c r="F283" s="1"/>
      <c r="G283" s="1"/>
      <c r="H283" s="1"/>
    </row>
    <row r="284">
      <c r="C284" s="1"/>
      <c r="F284" s="1"/>
      <c r="G284" s="1"/>
      <c r="H284" s="1"/>
    </row>
    <row r="285">
      <c r="C285" s="1"/>
      <c r="F285" s="1"/>
      <c r="G285" s="1"/>
      <c r="H285" s="1"/>
    </row>
    <row r="286">
      <c r="C286" s="1"/>
      <c r="F286" s="1"/>
      <c r="G286" s="1"/>
      <c r="H286" s="1"/>
    </row>
    <row r="287">
      <c r="C287" s="1"/>
      <c r="F287" s="1"/>
      <c r="G287" s="1"/>
      <c r="H287" s="1"/>
    </row>
    <row r="288">
      <c r="C288" s="1"/>
      <c r="F288" s="1"/>
      <c r="G288" s="1"/>
      <c r="H288" s="1"/>
    </row>
    <row r="289">
      <c r="C289" s="1"/>
      <c r="F289" s="1"/>
      <c r="G289" s="1"/>
      <c r="H289" s="1"/>
    </row>
    <row r="290">
      <c r="C290" s="1"/>
      <c r="F290" s="1"/>
      <c r="G290" s="1"/>
      <c r="H290" s="1"/>
    </row>
    <row r="291">
      <c r="C291" s="1"/>
      <c r="F291" s="1"/>
      <c r="G291" s="1"/>
      <c r="H291" s="1"/>
    </row>
    <row r="292">
      <c r="C292" s="1"/>
      <c r="F292" s="1"/>
      <c r="G292" s="1"/>
      <c r="H292" s="1"/>
    </row>
    <row r="293">
      <c r="C293" s="1"/>
      <c r="F293" s="1"/>
      <c r="G293" s="1"/>
      <c r="H293" s="1"/>
    </row>
    <row r="294">
      <c r="C294" s="1"/>
      <c r="F294" s="1"/>
      <c r="G294" s="1"/>
      <c r="H294" s="1"/>
    </row>
    <row r="295">
      <c r="C295" s="1"/>
      <c r="F295" s="1"/>
      <c r="G295" s="1"/>
      <c r="H295" s="1"/>
    </row>
    <row r="296">
      <c r="C296" s="1"/>
      <c r="F296" s="1"/>
      <c r="G296" s="1"/>
      <c r="H296" s="1"/>
    </row>
    <row r="297">
      <c r="C297" s="1"/>
      <c r="F297" s="1"/>
      <c r="G297" s="1"/>
      <c r="H297" s="1"/>
    </row>
    <row r="298">
      <c r="C298" s="1"/>
      <c r="F298" s="1"/>
      <c r="G298" s="1"/>
      <c r="H298" s="1"/>
    </row>
    <row r="299">
      <c r="C299" s="1"/>
      <c r="F299" s="1"/>
      <c r="G299" s="1"/>
      <c r="H299" s="1"/>
    </row>
    <row r="300">
      <c r="C300" s="1"/>
      <c r="F300" s="1"/>
      <c r="G300" s="1"/>
      <c r="H300" s="1"/>
    </row>
    <row r="301">
      <c r="C301" s="1"/>
      <c r="F301" s="1"/>
      <c r="G301" s="1"/>
      <c r="H301" s="1"/>
    </row>
    <row r="302">
      <c r="C302" s="1"/>
      <c r="F302" s="1"/>
      <c r="G302" s="1"/>
      <c r="H302" s="1"/>
    </row>
    <row r="303">
      <c r="C303" s="1"/>
      <c r="F303" s="1"/>
      <c r="G303" s="1"/>
      <c r="H303" s="1"/>
    </row>
    <row r="304">
      <c r="C304" s="1"/>
      <c r="F304" s="1"/>
      <c r="G304" s="1"/>
      <c r="H304" s="1"/>
    </row>
    <row r="305">
      <c r="C305" s="1"/>
      <c r="F305" s="1"/>
      <c r="G305" s="1"/>
      <c r="H305" s="1"/>
    </row>
    <row r="306">
      <c r="C306" s="1"/>
      <c r="F306" s="1"/>
      <c r="G306" s="1"/>
      <c r="H306" s="1"/>
    </row>
    <row r="307">
      <c r="C307" s="1"/>
      <c r="F307" s="1"/>
      <c r="G307" s="1"/>
      <c r="H307" s="1"/>
    </row>
    <row r="308">
      <c r="C308" s="1"/>
      <c r="F308" s="1"/>
      <c r="G308" s="1"/>
      <c r="H308" s="1"/>
    </row>
    <row r="309">
      <c r="C309" s="1"/>
      <c r="F309" s="1"/>
      <c r="G309" s="1"/>
      <c r="H309" s="1"/>
    </row>
    <row r="310">
      <c r="C310" s="1"/>
      <c r="F310" s="1"/>
      <c r="G310" s="1"/>
      <c r="H310" s="1"/>
    </row>
    <row r="311">
      <c r="C311" s="1"/>
      <c r="F311" s="1"/>
      <c r="G311" s="1"/>
      <c r="H311" s="1"/>
    </row>
    <row r="312">
      <c r="C312" s="1"/>
      <c r="F312" s="1"/>
      <c r="G312" s="1"/>
      <c r="H312" s="1"/>
    </row>
    <row r="313">
      <c r="C313" s="1"/>
      <c r="F313" s="1"/>
      <c r="G313" s="1"/>
      <c r="H313" s="1"/>
    </row>
    <row r="314">
      <c r="C314" s="1"/>
      <c r="F314" s="1"/>
      <c r="G314" s="1"/>
      <c r="H314" s="1"/>
    </row>
    <row r="315">
      <c r="C315" s="1"/>
      <c r="F315" s="1"/>
      <c r="G315" s="1"/>
      <c r="H315" s="1"/>
    </row>
    <row r="316">
      <c r="C316" s="1"/>
      <c r="F316" s="1"/>
      <c r="G316" s="1"/>
      <c r="H316" s="1"/>
    </row>
    <row r="317">
      <c r="C317" s="1"/>
      <c r="F317" s="1"/>
      <c r="G317" s="1"/>
      <c r="H317" s="1"/>
    </row>
    <row r="318">
      <c r="C318" s="1"/>
      <c r="F318" s="1"/>
      <c r="G318" s="1"/>
      <c r="H318" s="1"/>
    </row>
    <row r="319">
      <c r="C319" s="1"/>
      <c r="F319" s="1"/>
      <c r="G319" s="1"/>
      <c r="H319" s="1"/>
    </row>
    <row r="320">
      <c r="C320" s="1"/>
      <c r="F320" s="1"/>
      <c r="G320" s="1"/>
      <c r="H320" s="1"/>
    </row>
    <row r="321">
      <c r="C321" s="1"/>
      <c r="F321" s="1"/>
      <c r="G321" s="1"/>
      <c r="H321" s="1"/>
    </row>
    <row r="322">
      <c r="C322" s="1"/>
      <c r="F322" s="1"/>
      <c r="G322" s="1"/>
      <c r="H322" s="1"/>
    </row>
    <row r="323">
      <c r="C323" s="1"/>
      <c r="F323" s="1"/>
      <c r="G323" s="1"/>
      <c r="H323" s="1"/>
    </row>
    <row r="324">
      <c r="C324" s="1"/>
      <c r="F324" s="1"/>
      <c r="G324" s="1"/>
      <c r="H324" s="1"/>
    </row>
    <row r="325">
      <c r="C325" s="1"/>
      <c r="F325" s="1"/>
      <c r="G325" s="1"/>
      <c r="H325" s="1"/>
    </row>
    <row r="326">
      <c r="C326" s="1"/>
      <c r="F326" s="1"/>
      <c r="G326" s="1"/>
      <c r="H326" s="1"/>
    </row>
    <row r="327">
      <c r="C327" s="1"/>
      <c r="F327" s="1"/>
      <c r="G327" s="1"/>
      <c r="H327" s="1"/>
    </row>
    <row r="328">
      <c r="C328" s="1"/>
      <c r="F328" s="1"/>
      <c r="G328" s="1"/>
      <c r="H328" s="1"/>
    </row>
    <row r="329">
      <c r="C329" s="1"/>
      <c r="F329" s="1"/>
      <c r="G329" s="1"/>
      <c r="H329" s="1"/>
    </row>
    <row r="330">
      <c r="C330" s="1"/>
      <c r="F330" s="1"/>
      <c r="G330" s="1"/>
      <c r="H330" s="1"/>
    </row>
    <row r="331">
      <c r="C331" s="1"/>
      <c r="F331" s="1"/>
      <c r="G331" s="1"/>
      <c r="H331" s="1"/>
    </row>
    <row r="332">
      <c r="C332" s="1"/>
      <c r="F332" s="1"/>
      <c r="G332" s="1"/>
      <c r="H332" s="1"/>
    </row>
    <row r="333">
      <c r="C333" s="1"/>
      <c r="F333" s="1"/>
      <c r="G333" s="1"/>
      <c r="H333" s="1"/>
    </row>
    <row r="334">
      <c r="C334" s="1"/>
      <c r="F334" s="1"/>
      <c r="G334" s="1"/>
      <c r="H334" s="1"/>
    </row>
    <row r="335">
      <c r="C335" s="1"/>
      <c r="F335" s="1"/>
      <c r="G335" s="1"/>
      <c r="H335" s="1"/>
    </row>
    <row r="336">
      <c r="C336" s="1"/>
      <c r="F336" s="1"/>
      <c r="G336" s="1"/>
      <c r="H336" s="1"/>
    </row>
    <row r="337">
      <c r="C337" s="1"/>
      <c r="F337" s="1"/>
      <c r="G337" s="1"/>
      <c r="H337" s="1"/>
    </row>
    <row r="338">
      <c r="C338" s="1"/>
      <c r="F338" s="1"/>
      <c r="G338" s="1"/>
      <c r="H338" s="1"/>
    </row>
    <row r="339">
      <c r="C339" s="1"/>
      <c r="F339" s="1"/>
      <c r="G339" s="1"/>
      <c r="H339" s="1"/>
    </row>
    <row r="340">
      <c r="C340" s="1"/>
      <c r="F340" s="1"/>
      <c r="G340" s="1"/>
      <c r="H340" s="1"/>
    </row>
    <row r="341">
      <c r="C341" s="1"/>
      <c r="F341" s="1"/>
      <c r="G341" s="1"/>
      <c r="H341" s="1"/>
    </row>
    <row r="342">
      <c r="C342" s="1"/>
      <c r="F342" s="1"/>
      <c r="G342" s="1"/>
      <c r="H342" s="1"/>
    </row>
    <row r="343">
      <c r="C343" s="1"/>
      <c r="F343" s="1"/>
      <c r="G343" s="1"/>
      <c r="H343" s="1"/>
    </row>
    <row r="344">
      <c r="C344" s="1"/>
      <c r="F344" s="1"/>
      <c r="G344" s="1"/>
      <c r="H344" s="1"/>
    </row>
    <row r="345">
      <c r="C345" s="1"/>
      <c r="F345" s="1"/>
      <c r="G345" s="1"/>
      <c r="H345" s="1"/>
    </row>
    <row r="346">
      <c r="C346" s="1"/>
      <c r="F346" s="1"/>
      <c r="G346" s="1"/>
      <c r="H346" s="1"/>
    </row>
    <row r="347">
      <c r="C347" s="1"/>
      <c r="F347" s="1"/>
      <c r="G347" s="1"/>
      <c r="H347" s="1"/>
    </row>
    <row r="348">
      <c r="C348" s="1"/>
      <c r="F348" s="1"/>
      <c r="G348" s="1"/>
      <c r="H348" s="1"/>
    </row>
    <row r="349">
      <c r="C349" s="1"/>
      <c r="F349" s="1"/>
      <c r="G349" s="1"/>
      <c r="H349" s="1"/>
    </row>
    <row r="350">
      <c r="C350" s="1"/>
      <c r="F350" s="1"/>
      <c r="G350" s="1"/>
      <c r="H350" s="1"/>
    </row>
    <row r="351">
      <c r="C351" s="1"/>
      <c r="F351" s="1"/>
      <c r="G351" s="1"/>
      <c r="H351" s="1"/>
    </row>
    <row r="352">
      <c r="C352" s="1"/>
      <c r="F352" s="1"/>
      <c r="G352" s="1"/>
      <c r="H352" s="1"/>
    </row>
    <row r="353">
      <c r="C353" s="1"/>
      <c r="F353" s="1"/>
      <c r="G353" s="1"/>
      <c r="H353" s="1"/>
    </row>
    <row r="354">
      <c r="C354" s="1"/>
      <c r="F354" s="1"/>
      <c r="G354" s="1"/>
      <c r="H354" s="1"/>
    </row>
    <row r="355">
      <c r="C355" s="1"/>
      <c r="F355" s="1"/>
      <c r="G355" s="1"/>
      <c r="H355" s="1"/>
    </row>
    <row r="356">
      <c r="C356" s="1"/>
      <c r="F356" s="1"/>
      <c r="G356" s="1"/>
      <c r="H356" s="1"/>
    </row>
    <row r="357">
      <c r="C357" s="1"/>
      <c r="F357" s="1"/>
      <c r="G357" s="1"/>
      <c r="H357" s="1"/>
    </row>
    <row r="358">
      <c r="C358" s="1"/>
      <c r="F358" s="1"/>
      <c r="G358" s="1"/>
      <c r="H358" s="1"/>
    </row>
    <row r="359">
      <c r="C359" s="1"/>
      <c r="F359" s="1"/>
      <c r="G359" s="1"/>
      <c r="H359" s="1"/>
    </row>
    <row r="360">
      <c r="C360" s="1"/>
      <c r="F360" s="1"/>
      <c r="G360" s="1"/>
      <c r="H360" s="1"/>
    </row>
    <row r="361">
      <c r="C361" s="1"/>
      <c r="F361" s="1"/>
      <c r="G361" s="1"/>
      <c r="H361" s="1"/>
    </row>
    <row r="362">
      <c r="C362" s="1"/>
      <c r="F362" s="1"/>
      <c r="G362" s="1"/>
      <c r="H362" s="1"/>
    </row>
    <row r="363">
      <c r="C363" s="1"/>
      <c r="F363" s="1"/>
      <c r="G363" s="1"/>
      <c r="H363" s="1"/>
    </row>
    <row r="364">
      <c r="C364" s="1"/>
      <c r="F364" s="1"/>
      <c r="G364" s="1"/>
      <c r="H364" s="1"/>
    </row>
    <row r="365">
      <c r="C365" s="1"/>
      <c r="F365" s="1"/>
      <c r="G365" s="1"/>
      <c r="H365" s="1"/>
    </row>
    <row r="366">
      <c r="C366" s="1"/>
      <c r="F366" s="1"/>
      <c r="G366" s="1"/>
      <c r="H366" s="1"/>
    </row>
    <row r="367">
      <c r="C367" s="1"/>
      <c r="F367" s="1"/>
      <c r="G367" s="1"/>
      <c r="H367" s="1"/>
    </row>
    <row r="368">
      <c r="C368" s="1"/>
      <c r="F368" s="1"/>
      <c r="G368" s="1"/>
      <c r="H368" s="1"/>
    </row>
    <row r="369">
      <c r="C369" s="1"/>
      <c r="F369" s="1"/>
      <c r="G369" s="1"/>
      <c r="H369" s="1"/>
    </row>
    <row r="370">
      <c r="C370" s="1"/>
      <c r="F370" s="1"/>
      <c r="G370" s="1"/>
      <c r="H370" s="1"/>
    </row>
    <row r="371">
      <c r="C371" s="1"/>
      <c r="F371" s="1"/>
      <c r="G371" s="1"/>
      <c r="H371" s="1"/>
    </row>
    <row r="372">
      <c r="C372" s="1"/>
      <c r="F372" s="1"/>
      <c r="G372" s="1"/>
      <c r="H372" s="1"/>
    </row>
    <row r="373">
      <c r="C373" s="1"/>
      <c r="F373" s="1"/>
      <c r="G373" s="1"/>
      <c r="H373" s="1"/>
    </row>
    <row r="374">
      <c r="C374" s="1"/>
      <c r="F374" s="1"/>
      <c r="G374" s="1"/>
      <c r="H374" s="1"/>
    </row>
    <row r="375">
      <c r="C375" s="1"/>
      <c r="F375" s="1"/>
      <c r="G375" s="1"/>
      <c r="H375" s="1"/>
    </row>
    <row r="376">
      <c r="C376" s="1"/>
      <c r="F376" s="1"/>
      <c r="G376" s="1"/>
      <c r="H376" s="1"/>
    </row>
    <row r="377">
      <c r="C377" s="1"/>
      <c r="F377" s="1"/>
      <c r="G377" s="1"/>
      <c r="H377" s="1"/>
    </row>
    <row r="378">
      <c r="C378" s="1"/>
      <c r="F378" s="1"/>
      <c r="G378" s="1"/>
      <c r="H378" s="1"/>
    </row>
    <row r="379">
      <c r="C379" s="1"/>
      <c r="F379" s="1"/>
      <c r="G379" s="1"/>
      <c r="H379" s="1"/>
    </row>
    <row r="380">
      <c r="C380" s="1"/>
      <c r="F380" s="1"/>
      <c r="G380" s="1"/>
      <c r="H380" s="1"/>
    </row>
    <row r="381">
      <c r="C381" s="1"/>
      <c r="F381" s="1"/>
      <c r="G381" s="1"/>
      <c r="H381" s="1"/>
    </row>
    <row r="382">
      <c r="C382" s="1"/>
      <c r="F382" s="1"/>
      <c r="G382" s="1"/>
      <c r="H382" s="1"/>
    </row>
    <row r="383">
      <c r="C383" s="1"/>
      <c r="F383" s="1"/>
      <c r="G383" s="1"/>
      <c r="H383" s="1"/>
    </row>
    <row r="384">
      <c r="C384" s="1"/>
      <c r="F384" s="1"/>
      <c r="G384" s="1"/>
      <c r="H384" s="1"/>
    </row>
    <row r="385">
      <c r="C385" s="1"/>
      <c r="F385" s="1"/>
      <c r="G385" s="1"/>
      <c r="H385" s="1"/>
    </row>
    <row r="386">
      <c r="C386" s="1"/>
      <c r="F386" s="1"/>
      <c r="G386" s="1"/>
      <c r="H386" s="1"/>
    </row>
    <row r="387">
      <c r="C387" s="1"/>
      <c r="F387" s="1"/>
      <c r="G387" s="1"/>
      <c r="H387" s="1"/>
    </row>
    <row r="388">
      <c r="C388" s="1"/>
      <c r="F388" s="1"/>
      <c r="G388" s="1"/>
      <c r="H388" s="1"/>
    </row>
    <row r="389">
      <c r="C389" s="1"/>
      <c r="F389" s="1"/>
      <c r="G389" s="1"/>
      <c r="H389" s="1"/>
    </row>
    <row r="390">
      <c r="C390" s="1"/>
      <c r="F390" s="1"/>
      <c r="G390" s="1"/>
      <c r="H390" s="1"/>
    </row>
    <row r="391">
      <c r="C391" s="1"/>
      <c r="F391" s="1"/>
      <c r="G391" s="1"/>
      <c r="H391" s="1"/>
    </row>
    <row r="392">
      <c r="C392" s="1"/>
      <c r="F392" s="1"/>
      <c r="G392" s="1"/>
      <c r="H392" s="1"/>
    </row>
    <row r="393">
      <c r="C393" s="1"/>
      <c r="F393" s="1"/>
      <c r="G393" s="1"/>
      <c r="H393" s="1"/>
    </row>
    <row r="394">
      <c r="C394" s="1"/>
      <c r="F394" s="1"/>
      <c r="G394" s="1"/>
      <c r="H394" s="1"/>
    </row>
    <row r="395">
      <c r="C395" s="1"/>
      <c r="F395" s="1"/>
      <c r="G395" s="1"/>
      <c r="H395" s="1"/>
    </row>
    <row r="396">
      <c r="C396" s="1"/>
      <c r="F396" s="1"/>
      <c r="G396" s="1"/>
      <c r="H396" s="1"/>
    </row>
    <row r="397">
      <c r="C397" s="1"/>
      <c r="F397" s="1"/>
      <c r="G397" s="1"/>
      <c r="H397" s="1"/>
    </row>
    <row r="398">
      <c r="C398" s="1"/>
      <c r="F398" s="1"/>
      <c r="G398" s="1"/>
      <c r="H398" s="1"/>
    </row>
    <row r="399">
      <c r="C399" s="1"/>
      <c r="F399" s="1"/>
      <c r="G399" s="1"/>
      <c r="H399" s="1"/>
    </row>
    <row r="400">
      <c r="C400" s="1"/>
      <c r="F400" s="1"/>
      <c r="G400" s="1"/>
      <c r="H400" s="1"/>
    </row>
    <row r="401">
      <c r="C401" s="1"/>
      <c r="F401" s="1"/>
      <c r="G401" s="1"/>
      <c r="H401" s="1"/>
    </row>
    <row r="402">
      <c r="C402" s="1"/>
      <c r="F402" s="1"/>
      <c r="G402" s="1"/>
      <c r="H402" s="1"/>
    </row>
    <row r="403">
      <c r="C403" s="1"/>
      <c r="F403" s="1"/>
      <c r="G403" s="1"/>
      <c r="H403" s="1"/>
    </row>
    <row r="404">
      <c r="C404" s="1"/>
      <c r="F404" s="1"/>
      <c r="G404" s="1"/>
      <c r="H404" s="1"/>
    </row>
    <row r="405">
      <c r="C405" s="1"/>
      <c r="F405" s="1"/>
      <c r="G405" s="1"/>
      <c r="H405" s="1"/>
    </row>
    <row r="406">
      <c r="C406" s="1"/>
      <c r="F406" s="1"/>
      <c r="G406" s="1"/>
      <c r="H406" s="1"/>
    </row>
    <row r="407">
      <c r="C407" s="1"/>
      <c r="F407" s="1"/>
      <c r="G407" s="1"/>
      <c r="H407" s="1"/>
    </row>
    <row r="408">
      <c r="C408" s="1"/>
      <c r="F408" s="1"/>
      <c r="G408" s="1"/>
      <c r="H408" s="1"/>
    </row>
    <row r="409">
      <c r="C409" s="1"/>
      <c r="F409" s="1"/>
      <c r="G409" s="1"/>
      <c r="H409" s="1"/>
    </row>
    <row r="410">
      <c r="C410" s="1"/>
      <c r="F410" s="1"/>
      <c r="G410" s="1"/>
      <c r="H410" s="1"/>
    </row>
    <row r="411">
      <c r="C411" s="1"/>
      <c r="F411" s="1"/>
      <c r="G411" s="1"/>
      <c r="H411" s="1"/>
    </row>
    <row r="412">
      <c r="C412" s="1"/>
      <c r="F412" s="1"/>
      <c r="G412" s="1"/>
      <c r="H412" s="1"/>
    </row>
    <row r="413">
      <c r="C413" s="1"/>
      <c r="F413" s="1"/>
      <c r="G413" s="1"/>
      <c r="H413" s="1"/>
    </row>
    <row r="414">
      <c r="C414" s="1"/>
      <c r="F414" s="1"/>
      <c r="G414" s="1"/>
      <c r="H414" s="1"/>
    </row>
    <row r="415">
      <c r="C415" s="1"/>
      <c r="F415" s="1"/>
      <c r="G415" s="1"/>
      <c r="H415" s="1"/>
    </row>
    <row r="416">
      <c r="C416" s="1"/>
      <c r="F416" s="1"/>
      <c r="G416" s="1"/>
      <c r="H416" s="1"/>
    </row>
    <row r="417">
      <c r="C417" s="1"/>
      <c r="F417" s="1"/>
      <c r="G417" s="1"/>
      <c r="H417" s="1"/>
    </row>
    <row r="418">
      <c r="C418" s="1"/>
      <c r="F418" s="1"/>
      <c r="G418" s="1"/>
      <c r="H418" s="1"/>
    </row>
    <row r="419">
      <c r="C419" s="1"/>
      <c r="F419" s="1"/>
      <c r="G419" s="1"/>
      <c r="H419" s="1"/>
    </row>
    <row r="420">
      <c r="C420" s="1"/>
      <c r="F420" s="1"/>
      <c r="G420" s="1"/>
      <c r="H420" s="1"/>
    </row>
    <row r="421">
      <c r="C421" s="1"/>
      <c r="F421" s="1"/>
      <c r="G421" s="1"/>
      <c r="H421" s="1"/>
    </row>
    <row r="422">
      <c r="C422" s="1"/>
      <c r="F422" s="1"/>
      <c r="G422" s="1"/>
      <c r="H422" s="1"/>
    </row>
    <row r="423">
      <c r="C423" s="1"/>
      <c r="F423" s="1"/>
      <c r="G423" s="1"/>
      <c r="H423" s="1"/>
    </row>
    <row r="424">
      <c r="C424" s="1"/>
      <c r="F424" s="1"/>
      <c r="G424" s="1"/>
      <c r="H424" s="1"/>
    </row>
    <row r="425">
      <c r="C425" s="1"/>
      <c r="F425" s="1"/>
      <c r="G425" s="1"/>
      <c r="H425" s="1"/>
    </row>
    <row r="426">
      <c r="C426" s="1"/>
      <c r="F426" s="1"/>
      <c r="G426" s="1"/>
      <c r="H426" s="1"/>
    </row>
    <row r="427">
      <c r="C427" s="1"/>
      <c r="F427" s="1"/>
      <c r="G427" s="1"/>
      <c r="H427" s="1"/>
    </row>
    <row r="428">
      <c r="C428" s="1"/>
      <c r="F428" s="1"/>
      <c r="G428" s="1"/>
      <c r="H428" s="1"/>
    </row>
    <row r="429">
      <c r="C429" s="1"/>
      <c r="F429" s="1"/>
      <c r="G429" s="1"/>
      <c r="H429" s="1"/>
    </row>
    <row r="430">
      <c r="C430" s="1"/>
      <c r="F430" s="1"/>
      <c r="G430" s="1"/>
      <c r="H430" s="1"/>
    </row>
    <row r="431">
      <c r="C431" s="1"/>
      <c r="F431" s="1"/>
      <c r="G431" s="1"/>
      <c r="H431" s="1"/>
    </row>
    <row r="432">
      <c r="C432" s="1"/>
      <c r="F432" s="1"/>
      <c r="G432" s="1"/>
      <c r="H432" s="1"/>
    </row>
    <row r="433">
      <c r="C433" s="1"/>
      <c r="F433" s="1"/>
      <c r="G433" s="1"/>
      <c r="H433" s="1"/>
    </row>
    <row r="434">
      <c r="C434" s="1"/>
      <c r="F434" s="1"/>
      <c r="G434" s="1"/>
      <c r="H434" s="1"/>
    </row>
    <row r="435">
      <c r="C435" s="1"/>
      <c r="F435" s="1"/>
      <c r="G435" s="1"/>
      <c r="H435" s="1"/>
    </row>
    <row r="436">
      <c r="C436" s="1"/>
      <c r="F436" s="1"/>
      <c r="G436" s="1"/>
      <c r="H436" s="1"/>
    </row>
    <row r="437">
      <c r="C437" s="1"/>
      <c r="F437" s="1"/>
      <c r="G437" s="1"/>
      <c r="H437" s="1"/>
    </row>
    <row r="438">
      <c r="C438" s="1"/>
      <c r="F438" s="1"/>
      <c r="G438" s="1"/>
      <c r="H438" s="1"/>
    </row>
    <row r="439">
      <c r="C439" s="1"/>
      <c r="F439" s="1"/>
      <c r="G439" s="1"/>
      <c r="H439" s="1"/>
    </row>
    <row r="440">
      <c r="C440" s="1"/>
      <c r="F440" s="1"/>
      <c r="G440" s="1"/>
      <c r="H440" s="1"/>
    </row>
    <row r="441">
      <c r="C441" s="1"/>
      <c r="F441" s="1"/>
      <c r="G441" s="1"/>
      <c r="H441" s="1"/>
    </row>
    <row r="442">
      <c r="C442" s="1"/>
      <c r="F442" s="1"/>
      <c r="G442" s="1"/>
      <c r="H442" s="1"/>
    </row>
    <row r="443">
      <c r="C443" s="1"/>
      <c r="F443" s="1"/>
      <c r="G443" s="1"/>
      <c r="H443" s="1"/>
    </row>
    <row r="444">
      <c r="C444" s="1"/>
      <c r="F444" s="1"/>
      <c r="G444" s="1"/>
      <c r="H444" s="1"/>
    </row>
    <row r="445">
      <c r="C445" s="1"/>
      <c r="F445" s="1"/>
      <c r="G445" s="1"/>
      <c r="H445" s="1"/>
    </row>
    <row r="446">
      <c r="C446" s="1"/>
      <c r="F446" s="1"/>
      <c r="G446" s="1"/>
      <c r="H446" s="1"/>
    </row>
    <row r="447">
      <c r="C447" s="1"/>
      <c r="F447" s="1"/>
      <c r="G447" s="1"/>
      <c r="H447" s="1"/>
    </row>
    <row r="448">
      <c r="C448" s="1"/>
      <c r="F448" s="1"/>
      <c r="G448" s="1"/>
      <c r="H448" s="1"/>
    </row>
    <row r="449">
      <c r="C449" s="1"/>
      <c r="F449" s="1"/>
      <c r="G449" s="1"/>
      <c r="H449" s="1"/>
    </row>
    <row r="450">
      <c r="C450" s="1"/>
      <c r="F450" s="1"/>
      <c r="G450" s="1"/>
      <c r="H450" s="1"/>
    </row>
    <row r="451">
      <c r="C451" s="1"/>
      <c r="F451" s="1"/>
      <c r="G451" s="1"/>
      <c r="H451" s="1"/>
    </row>
    <row r="452">
      <c r="C452" s="1"/>
      <c r="F452" s="1"/>
      <c r="G452" s="1"/>
      <c r="H452" s="1"/>
    </row>
    <row r="453">
      <c r="C453" s="1"/>
      <c r="F453" s="1"/>
      <c r="G453" s="1"/>
      <c r="H453" s="1"/>
    </row>
    <row r="454">
      <c r="C454" s="1"/>
      <c r="F454" s="1"/>
      <c r="G454" s="1"/>
      <c r="H454" s="1"/>
    </row>
    <row r="455">
      <c r="C455" s="1"/>
      <c r="F455" s="1"/>
      <c r="G455" s="1"/>
      <c r="H455" s="1"/>
    </row>
    <row r="456">
      <c r="C456" s="1"/>
      <c r="F456" s="1"/>
      <c r="G456" s="1"/>
      <c r="H456" s="1"/>
    </row>
    <row r="457">
      <c r="C457" s="1"/>
      <c r="F457" s="1"/>
      <c r="G457" s="1"/>
      <c r="H457" s="1"/>
    </row>
    <row r="458">
      <c r="C458" s="1"/>
      <c r="F458" s="1"/>
      <c r="G458" s="1"/>
      <c r="H458" s="1"/>
    </row>
    <row r="459">
      <c r="C459" s="1"/>
      <c r="F459" s="1"/>
      <c r="G459" s="1"/>
      <c r="H459" s="1"/>
    </row>
    <row r="460">
      <c r="C460" s="1"/>
      <c r="F460" s="1"/>
      <c r="G460" s="1"/>
      <c r="H460" s="1"/>
    </row>
    <row r="461">
      <c r="C461" s="1"/>
      <c r="F461" s="1"/>
      <c r="G461" s="1"/>
      <c r="H461" s="1"/>
    </row>
    <row r="462">
      <c r="C462" s="1"/>
      <c r="F462" s="1"/>
      <c r="G462" s="1"/>
      <c r="H462" s="1"/>
    </row>
    <row r="463">
      <c r="C463" s="1"/>
      <c r="F463" s="1"/>
      <c r="G463" s="1"/>
      <c r="H463" s="1"/>
    </row>
    <row r="464">
      <c r="C464" s="1"/>
      <c r="F464" s="1"/>
      <c r="G464" s="1"/>
      <c r="H464" s="1"/>
    </row>
    <row r="465">
      <c r="C465" s="1"/>
      <c r="F465" s="1"/>
      <c r="G465" s="1"/>
      <c r="H465" s="1"/>
    </row>
    <row r="466">
      <c r="C466" s="1"/>
      <c r="F466" s="1"/>
      <c r="G466" s="1"/>
      <c r="H466" s="1"/>
    </row>
    <row r="467">
      <c r="C467" s="1"/>
      <c r="F467" s="1"/>
      <c r="G467" s="1"/>
      <c r="H467" s="1"/>
    </row>
    <row r="468">
      <c r="C468" s="1"/>
      <c r="F468" s="1"/>
      <c r="G468" s="1"/>
      <c r="H468" s="1"/>
    </row>
    <row r="469">
      <c r="C469" s="1"/>
      <c r="F469" s="1"/>
      <c r="G469" s="1"/>
      <c r="H469" s="1"/>
    </row>
    <row r="470">
      <c r="C470" s="1"/>
      <c r="F470" s="1"/>
      <c r="G470" s="1"/>
      <c r="H470" s="1"/>
    </row>
    <row r="471">
      <c r="C471" s="1"/>
      <c r="F471" s="1"/>
      <c r="G471" s="1"/>
      <c r="H471" s="1"/>
    </row>
    <row r="472">
      <c r="C472" s="1"/>
      <c r="F472" s="1"/>
      <c r="G472" s="1"/>
      <c r="H472" s="1"/>
    </row>
    <row r="473">
      <c r="C473" s="1"/>
      <c r="F473" s="1"/>
      <c r="G473" s="1"/>
      <c r="H473" s="1"/>
    </row>
    <row r="474">
      <c r="C474" s="1"/>
      <c r="F474" s="1"/>
      <c r="G474" s="1"/>
      <c r="H474" s="1"/>
    </row>
    <row r="475">
      <c r="C475" s="1"/>
      <c r="F475" s="1"/>
      <c r="G475" s="1"/>
      <c r="H475" s="1"/>
    </row>
    <row r="476">
      <c r="C476" s="1"/>
      <c r="F476" s="1"/>
      <c r="G476" s="1"/>
      <c r="H476" s="1"/>
    </row>
    <row r="477">
      <c r="C477" s="1"/>
      <c r="F477" s="1"/>
      <c r="G477" s="1"/>
      <c r="H477" s="1"/>
    </row>
    <row r="478">
      <c r="C478" s="1"/>
      <c r="F478" s="1"/>
      <c r="G478" s="1"/>
      <c r="H478" s="1"/>
    </row>
    <row r="479">
      <c r="C479" s="1"/>
      <c r="F479" s="1"/>
      <c r="G479" s="1"/>
      <c r="H479" s="1"/>
    </row>
    <row r="480">
      <c r="C480" s="1"/>
      <c r="F480" s="1"/>
      <c r="G480" s="1"/>
      <c r="H480" s="1"/>
    </row>
    <row r="481">
      <c r="C481" s="1"/>
      <c r="F481" s="1"/>
      <c r="G481" s="1"/>
      <c r="H481" s="1"/>
    </row>
    <row r="482">
      <c r="C482" s="1"/>
      <c r="F482" s="1"/>
      <c r="G482" s="1"/>
      <c r="H482" s="1"/>
    </row>
    <row r="483">
      <c r="C483" s="1"/>
      <c r="F483" s="1"/>
      <c r="G483" s="1"/>
      <c r="H483" s="1"/>
    </row>
    <row r="484">
      <c r="C484" s="1"/>
      <c r="F484" s="1"/>
      <c r="G484" s="1"/>
      <c r="H484" s="1"/>
    </row>
    <row r="485">
      <c r="C485" s="1"/>
      <c r="F485" s="1"/>
      <c r="G485" s="1"/>
      <c r="H485" s="1"/>
    </row>
    <row r="486">
      <c r="C486" s="1"/>
      <c r="F486" s="1"/>
      <c r="G486" s="1"/>
      <c r="H486" s="1"/>
    </row>
    <row r="487">
      <c r="C487" s="1"/>
      <c r="F487" s="1"/>
      <c r="G487" s="1"/>
      <c r="H487" s="1"/>
    </row>
    <row r="488">
      <c r="C488" s="1"/>
      <c r="F488" s="1"/>
      <c r="G488" s="1"/>
      <c r="H488" s="1"/>
    </row>
    <row r="489">
      <c r="C489" s="1"/>
      <c r="F489" s="1"/>
      <c r="G489" s="1"/>
      <c r="H489" s="1"/>
    </row>
    <row r="490">
      <c r="C490" s="1"/>
      <c r="F490" s="1"/>
      <c r="G490" s="1"/>
      <c r="H490" s="1"/>
    </row>
    <row r="491">
      <c r="C491" s="1"/>
      <c r="F491" s="1"/>
      <c r="G491" s="1"/>
      <c r="H491" s="1"/>
    </row>
    <row r="492">
      <c r="C492" s="1"/>
      <c r="F492" s="1"/>
      <c r="G492" s="1"/>
      <c r="H492" s="1"/>
    </row>
    <row r="493">
      <c r="C493" s="1"/>
      <c r="F493" s="1"/>
      <c r="G493" s="1"/>
      <c r="H493" s="1"/>
    </row>
    <row r="494">
      <c r="C494" s="1"/>
      <c r="F494" s="1"/>
      <c r="G494" s="1"/>
      <c r="H494" s="1"/>
    </row>
    <row r="495">
      <c r="C495" s="1"/>
      <c r="F495" s="1"/>
      <c r="G495" s="1"/>
      <c r="H495" s="1"/>
    </row>
    <row r="496">
      <c r="C496" s="1"/>
      <c r="F496" s="1"/>
      <c r="G496" s="1"/>
      <c r="H496" s="1"/>
    </row>
    <row r="497">
      <c r="C497" s="1"/>
      <c r="F497" s="1"/>
      <c r="G497" s="1"/>
      <c r="H497" s="1"/>
    </row>
    <row r="498">
      <c r="C498" s="1"/>
      <c r="F498" s="1"/>
      <c r="G498" s="1"/>
      <c r="H498" s="1"/>
    </row>
    <row r="499">
      <c r="C499" s="1"/>
      <c r="F499" s="1"/>
      <c r="G499" s="1"/>
      <c r="H499" s="1"/>
    </row>
    <row r="500">
      <c r="C500" s="1"/>
      <c r="F500" s="1"/>
      <c r="G500" s="1"/>
      <c r="H500" s="1"/>
    </row>
    <row r="501">
      <c r="C501" s="1"/>
      <c r="F501" s="1"/>
      <c r="G501" s="1"/>
      <c r="H501" s="1"/>
    </row>
    <row r="502">
      <c r="C502" s="1"/>
      <c r="F502" s="1"/>
      <c r="G502" s="1"/>
      <c r="H502" s="1"/>
    </row>
    <row r="503">
      <c r="C503" s="1"/>
      <c r="F503" s="1"/>
      <c r="G503" s="1"/>
      <c r="H503" s="1"/>
    </row>
    <row r="504">
      <c r="C504" s="1"/>
      <c r="F504" s="1"/>
      <c r="G504" s="1"/>
      <c r="H504" s="1"/>
    </row>
    <row r="505">
      <c r="C505" s="1"/>
      <c r="F505" s="1"/>
      <c r="G505" s="1"/>
      <c r="H505" s="1"/>
    </row>
    <row r="506">
      <c r="C506" s="1"/>
      <c r="F506" s="1"/>
      <c r="G506" s="1"/>
      <c r="H506" s="1"/>
    </row>
    <row r="507">
      <c r="C507" s="1"/>
      <c r="F507" s="1"/>
      <c r="G507" s="1"/>
      <c r="H507" s="1"/>
    </row>
    <row r="508">
      <c r="C508" s="1"/>
      <c r="F508" s="1"/>
      <c r="G508" s="1"/>
      <c r="H508" s="1"/>
    </row>
    <row r="509">
      <c r="C509" s="1"/>
      <c r="F509" s="1"/>
      <c r="G509" s="1"/>
      <c r="H509" s="1"/>
    </row>
    <row r="510">
      <c r="C510" s="1"/>
      <c r="F510" s="1"/>
      <c r="G510" s="1"/>
      <c r="H510" s="1"/>
    </row>
    <row r="511">
      <c r="C511" s="1"/>
      <c r="F511" s="1"/>
      <c r="G511" s="1"/>
      <c r="H511" s="1"/>
    </row>
    <row r="512">
      <c r="C512" s="1"/>
      <c r="F512" s="1"/>
      <c r="G512" s="1"/>
      <c r="H512" s="1"/>
    </row>
    <row r="513">
      <c r="C513" s="1"/>
      <c r="F513" s="1"/>
      <c r="G513" s="1"/>
      <c r="H513" s="1"/>
    </row>
    <row r="514">
      <c r="C514" s="1"/>
      <c r="F514" s="1"/>
      <c r="G514" s="1"/>
      <c r="H514" s="1"/>
    </row>
    <row r="515">
      <c r="C515" s="1"/>
      <c r="F515" s="1"/>
      <c r="G515" s="1"/>
      <c r="H515" s="1"/>
    </row>
    <row r="516">
      <c r="C516" s="1"/>
      <c r="F516" s="1"/>
      <c r="G516" s="1"/>
      <c r="H516" s="1"/>
    </row>
    <row r="517">
      <c r="C517" s="1"/>
      <c r="F517" s="1"/>
      <c r="G517" s="1"/>
      <c r="H517" s="1"/>
    </row>
    <row r="518">
      <c r="C518" s="1"/>
      <c r="F518" s="1"/>
      <c r="G518" s="1"/>
      <c r="H518" s="1"/>
    </row>
    <row r="519">
      <c r="C519" s="1"/>
      <c r="F519" s="1"/>
      <c r="G519" s="1"/>
      <c r="H519" s="1"/>
    </row>
    <row r="520">
      <c r="C520" s="1"/>
      <c r="F520" s="1"/>
      <c r="G520" s="1"/>
      <c r="H520" s="1"/>
    </row>
    <row r="521">
      <c r="C521" s="1"/>
      <c r="F521" s="1"/>
      <c r="G521" s="1"/>
      <c r="H521" s="1"/>
    </row>
    <row r="522">
      <c r="C522" s="1"/>
      <c r="F522" s="1"/>
      <c r="G522" s="1"/>
      <c r="H522" s="1"/>
    </row>
    <row r="523">
      <c r="C523" s="1"/>
      <c r="F523" s="1"/>
      <c r="G523" s="1"/>
      <c r="H523" s="1"/>
    </row>
    <row r="524">
      <c r="C524" s="1"/>
      <c r="F524" s="1"/>
      <c r="G524" s="1"/>
      <c r="H524" s="1"/>
    </row>
    <row r="525">
      <c r="C525" s="1"/>
      <c r="F525" s="1"/>
      <c r="G525" s="1"/>
      <c r="H525" s="1"/>
    </row>
    <row r="526">
      <c r="C526" s="1"/>
      <c r="F526" s="1"/>
      <c r="G526" s="1"/>
      <c r="H526" s="1"/>
    </row>
    <row r="527">
      <c r="C527" s="1"/>
      <c r="F527" s="1"/>
      <c r="G527" s="1"/>
      <c r="H527" s="1"/>
    </row>
    <row r="528">
      <c r="C528" s="1"/>
      <c r="F528" s="1"/>
      <c r="G528" s="1"/>
      <c r="H528" s="1"/>
    </row>
    <row r="529">
      <c r="C529" s="1"/>
      <c r="F529" s="1"/>
      <c r="G529" s="1"/>
      <c r="H529" s="1"/>
    </row>
    <row r="530">
      <c r="C530" s="1"/>
      <c r="F530" s="1"/>
      <c r="G530" s="1"/>
      <c r="H530" s="1"/>
    </row>
    <row r="531">
      <c r="C531" s="1"/>
      <c r="F531" s="1"/>
      <c r="G531" s="1"/>
      <c r="H531" s="1"/>
    </row>
    <row r="532">
      <c r="C532" s="1"/>
      <c r="F532" s="1"/>
      <c r="G532" s="1"/>
      <c r="H532" s="1"/>
    </row>
    <row r="533">
      <c r="C533" s="1"/>
      <c r="F533" s="1"/>
      <c r="G533" s="1"/>
      <c r="H533" s="1"/>
    </row>
    <row r="534">
      <c r="C534" s="1"/>
      <c r="F534" s="1"/>
      <c r="G534" s="1"/>
      <c r="H534" s="1"/>
    </row>
    <row r="535">
      <c r="C535" s="1"/>
      <c r="F535" s="1"/>
      <c r="G535" s="1"/>
      <c r="H535" s="1"/>
    </row>
    <row r="536">
      <c r="C536" s="1"/>
      <c r="F536" s="1"/>
      <c r="G536" s="1"/>
      <c r="H536" s="1"/>
    </row>
    <row r="537">
      <c r="C537" s="1"/>
      <c r="F537" s="1"/>
      <c r="G537" s="1"/>
      <c r="H537" s="1"/>
    </row>
    <row r="538">
      <c r="C538" s="1"/>
      <c r="F538" s="1"/>
      <c r="G538" s="1"/>
      <c r="H538" s="1"/>
    </row>
    <row r="539">
      <c r="C539" s="1"/>
      <c r="F539" s="1"/>
      <c r="G539" s="1"/>
      <c r="H539" s="1"/>
    </row>
    <row r="540">
      <c r="C540" s="1"/>
      <c r="F540" s="1"/>
      <c r="G540" s="1"/>
      <c r="H540" s="1"/>
    </row>
    <row r="541">
      <c r="C541" s="1"/>
      <c r="F541" s="1"/>
      <c r="G541" s="1"/>
      <c r="H541" s="1"/>
    </row>
    <row r="542">
      <c r="C542" s="1"/>
      <c r="F542" s="1"/>
      <c r="G542" s="1"/>
      <c r="H542" s="1"/>
    </row>
    <row r="543">
      <c r="C543" s="1"/>
      <c r="F543" s="1"/>
      <c r="G543" s="1"/>
      <c r="H543" s="1"/>
    </row>
    <row r="544">
      <c r="C544" s="1"/>
      <c r="F544" s="1"/>
      <c r="G544" s="1"/>
      <c r="H544" s="1"/>
    </row>
    <row r="545">
      <c r="C545" s="1"/>
      <c r="F545" s="1"/>
      <c r="G545" s="1"/>
      <c r="H545" s="1"/>
    </row>
    <row r="546">
      <c r="C546" s="1"/>
      <c r="F546" s="1"/>
      <c r="G546" s="1"/>
      <c r="H546" s="1"/>
    </row>
    <row r="547">
      <c r="C547" s="1"/>
      <c r="F547" s="1"/>
      <c r="G547" s="1"/>
      <c r="H547" s="1"/>
    </row>
    <row r="548">
      <c r="C548" s="1"/>
      <c r="F548" s="1"/>
      <c r="G548" s="1"/>
      <c r="H548" s="1"/>
    </row>
    <row r="549">
      <c r="C549" s="1"/>
      <c r="F549" s="1"/>
      <c r="G549" s="1"/>
      <c r="H549" s="1"/>
    </row>
    <row r="550">
      <c r="C550" s="1"/>
      <c r="F550" s="1"/>
      <c r="G550" s="1"/>
      <c r="H550" s="1"/>
    </row>
    <row r="551">
      <c r="C551" s="1"/>
      <c r="F551" s="1"/>
      <c r="G551" s="1"/>
      <c r="H551" s="1"/>
    </row>
    <row r="552">
      <c r="C552" s="1"/>
      <c r="F552" s="1"/>
      <c r="G552" s="1"/>
      <c r="H552" s="1"/>
    </row>
    <row r="553">
      <c r="C553" s="1"/>
      <c r="F553" s="1"/>
      <c r="G553" s="1"/>
      <c r="H553" s="1"/>
    </row>
    <row r="554">
      <c r="C554" s="1"/>
      <c r="F554" s="1"/>
      <c r="G554" s="1"/>
      <c r="H554" s="1"/>
    </row>
    <row r="555">
      <c r="C555" s="1"/>
      <c r="F555" s="1"/>
      <c r="G555" s="1"/>
      <c r="H555" s="1"/>
    </row>
    <row r="556">
      <c r="C556" s="1"/>
      <c r="F556" s="1"/>
      <c r="G556" s="1"/>
      <c r="H556" s="1"/>
    </row>
    <row r="557">
      <c r="C557" s="1"/>
      <c r="F557" s="1"/>
      <c r="G557" s="1"/>
      <c r="H557" s="1"/>
    </row>
    <row r="558">
      <c r="C558" s="1"/>
      <c r="F558" s="1"/>
      <c r="G558" s="1"/>
      <c r="H558" s="1"/>
    </row>
    <row r="559">
      <c r="C559" s="1"/>
      <c r="F559" s="1"/>
      <c r="G559" s="1"/>
      <c r="H559" s="1"/>
    </row>
    <row r="560">
      <c r="C560" s="1"/>
      <c r="F560" s="1"/>
      <c r="G560" s="1"/>
      <c r="H560" s="1"/>
    </row>
    <row r="561">
      <c r="C561" s="1"/>
      <c r="F561" s="1"/>
      <c r="G561" s="1"/>
      <c r="H561" s="1"/>
    </row>
    <row r="562">
      <c r="C562" s="1"/>
      <c r="F562" s="1"/>
      <c r="G562" s="1"/>
      <c r="H562" s="1"/>
    </row>
    <row r="563">
      <c r="C563" s="1"/>
      <c r="F563" s="1"/>
      <c r="G563" s="1"/>
      <c r="H563" s="1"/>
    </row>
    <row r="564">
      <c r="C564" s="1"/>
      <c r="F564" s="1"/>
      <c r="G564" s="1"/>
      <c r="H564" s="1"/>
    </row>
    <row r="565">
      <c r="C565" s="1"/>
      <c r="F565" s="1"/>
      <c r="G565" s="1"/>
      <c r="H565" s="1"/>
    </row>
    <row r="566">
      <c r="C566" s="1"/>
      <c r="F566" s="1"/>
      <c r="G566" s="1"/>
      <c r="H566" s="1"/>
    </row>
    <row r="567">
      <c r="C567" s="1"/>
      <c r="F567" s="1"/>
      <c r="G567" s="1"/>
      <c r="H567" s="1"/>
    </row>
    <row r="568">
      <c r="C568" s="1"/>
      <c r="F568" s="1"/>
      <c r="G568" s="1"/>
      <c r="H568" s="1"/>
    </row>
    <row r="569">
      <c r="C569" s="1"/>
      <c r="F569" s="1"/>
      <c r="G569" s="1"/>
      <c r="H569" s="1"/>
    </row>
    <row r="570">
      <c r="C570" s="1"/>
      <c r="F570" s="1"/>
      <c r="G570" s="1"/>
      <c r="H570" s="1"/>
    </row>
    <row r="571">
      <c r="C571" s="1"/>
      <c r="F571" s="1"/>
      <c r="G571" s="1"/>
      <c r="H571" s="1"/>
    </row>
    <row r="572">
      <c r="C572" s="1"/>
      <c r="F572" s="1"/>
      <c r="G572" s="1"/>
      <c r="H572" s="1"/>
    </row>
    <row r="573">
      <c r="C573" s="1"/>
      <c r="F573" s="1"/>
      <c r="G573" s="1"/>
      <c r="H573" s="1"/>
    </row>
    <row r="574">
      <c r="C574" s="1"/>
      <c r="F574" s="1"/>
      <c r="G574" s="1"/>
      <c r="H574" s="1"/>
    </row>
    <row r="575">
      <c r="C575" s="1"/>
      <c r="F575" s="1"/>
      <c r="G575" s="1"/>
      <c r="H575" s="1"/>
    </row>
    <row r="576">
      <c r="C576" s="1"/>
      <c r="F576" s="1"/>
      <c r="G576" s="1"/>
      <c r="H576" s="1"/>
    </row>
    <row r="577">
      <c r="C577" s="1"/>
      <c r="F577" s="1"/>
      <c r="G577" s="1"/>
      <c r="H577" s="1"/>
    </row>
    <row r="578">
      <c r="C578" s="1"/>
      <c r="F578" s="1"/>
      <c r="G578" s="1"/>
      <c r="H578" s="1"/>
    </row>
    <row r="579">
      <c r="C579" s="1"/>
      <c r="F579" s="1"/>
      <c r="G579" s="1"/>
      <c r="H579" s="1"/>
    </row>
    <row r="580">
      <c r="C580" s="1"/>
      <c r="F580" s="1"/>
      <c r="G580" s="1"/>
      <c r="H580" s="1"/>
    </row>
    <row r="581">
      <c r="C581" s="1"/>
      <c r="F581" s="1"/>
      <c r="G581" s="1"/>
      <c r="H581" s="1"/>
    </row>
    <row r="582">
      <c r="C582" s="1"/>
      <c r="F582" s="1"/>
      <c r="G582" s="1"/>
      <c r="H582" s="1"/>
    </row>
    <row r="583">
      <c r="C583" s="1"/>
      <c r="F583" s="1"/>
      <c r="G583" s="1"/>
      <c r="H583" s="1"/>
    </row>
    <row r="584">
      <c r="C584" s="1"/>
      <c r="F584" s="1"/>
      <c r="G584" s="1"/>
      <c r="H584" s="1"/>
    </row>
    <row r="585">
      <c r="C585" s="1"/>
      <c r="F585" s="1"/>
      <c r="G585" s="1"/>
      <c r="H585" s="1"/>
    </row>
    <row r="586">
      <c r="C586" s="1"/>
      <c r="F586" s="1"/>
      <c r="G586" s="1"/>
      <c r="H586" s="1"/>
    </row>
    <row r="587">
      <c r="C587" s="1"/>
      <c r="F587" s="1"/>
      <c r="G587" s="1"/>
      <c r="H587" s="1"/>
    </row>
    <row r="588">
      <c r="C588" s="1"/>
      <c r="F588" s="1"/>
      <c r="G588" s="1"/>
      <c r="H588" s="1"/>
    </row>
    <row r="589">
      <c r="C589" s="1"/>
      <c r="F589" s="1"/>
      <c r="G589" s="1"/>
      <c r="H589" s="1"/>
    </row>
    <row r="590">
      <c r="C590" s="1"/>
      <c r="F590" s="1"/>
      <c r="G590" s="1"/>
      <c r="H590" s="1"/>
    </row>
    <row r="591">
      <c r="C591" s="1"/>
      <c r="F591" s="1"/>
      <c r="G591" s="1"/>
      <c r="H591" s="1"/>
    </row>
    <row r="592">
      <c r="C592" s="1"/>
      <c r="F592" s="1"/>
      <c r="G592" s="1"/>
      <c r="H592" s="1"/>
    </row>
    <row r="593">
      <c r="C593" s="1"/>
      <c r="F593" s="1"/>
      <c r="G593" s="1"/>
      <c r="H593" s="1"/>
    </row>
    <row r="594">
      <c r="C594" s="1"/>
      <c r="F594" s="1"/>
      <c r="G594" s="1"/>
      <c r="H594" s="1"/>
    </row>
    <row r="595">
      <c r="C595" s="1"/>
      <c r="F595" s="1"/>
      <c r="G595" s="1"/>
      <c r="H595" s="1"/>
    </row>
    <row r="596">
      <c r="C596" s="1"/>
      <c r="F596" s="1"/>
      <c r="G596" s="1"/>
      <c r="H596" s="1"/>
    </row>
    <row r="597">
      <c r="C597" s="1"/>
      <c r="F597" s="1"/>
      <c r="G597" s="1"/>
      <c r="H597" s="1"/>
    </row>
    <row r="598">
      <c r="C598" s="1"/>
      <c r="F598" s="1"/>
      <c r="G598" s="1"/>
      <c r="H598" s="1"/>
    </row>
    <row r="599">
      <c r="C599" s="1"/>
      <c r="F599" s="1"/>
      <c r="G599" s="1"/>
      <c r="H599" s="1"/>
    </row>
    <row r="600">
      <c r="C600" s="1"/>
      <c r="F600" s="1"/>
      <c r="G600" s="1"/>
      <c r="H600" s="1"/>
    </row>
    <row r="601">
      <c r="C601" s="1"/>
      <c r="F601" s="1"/>
      <c r="G601" s="1"/>
      <c r="H601" s="1"/>
    </row>
    <row r="602">
      <c r="C602" s="1"/>
      <c r="F602" s="1"/>
      <c r="G602" s="1"/>
      <c r="H602" s="1"/>
    </row>
    <row r="603">
      <c r="C603" s="1"/>
      <c r="F603" s="1"/>
      <c r="G603" s="1"/>
      <c r="H603" s="1"/>
    </row>
    <row r="604">
      <c r="C604" s="1"/>
      <c r="F604" s="1"/>
      <c r="G604" s="1"/>
      <c r="H604" s="1"/>
    </row>
    <row r="605">
      <c r="C605" s="1"/>
      <c r="F605" s="1"/>
      <c r="G605" s="1"/>
      <c r="H605" s="1"/>
    </row>
    <row r="606">
      <c r="C606" s="1"/>
      <c r="F606" s="1"/>
      <c r="G606" s="1"/>
      <c r="H606" s="1"/>
    </row>
    <row r="607">
      <c r="C607" s="1"/>
      <c r="F607" s="1"/>
      <c r="G607" s="1"/>
      <c r="H607" s="1"/>
    </row>
    <row r="608">
      <c r="C608" s="1"/>
      <c r="F608" s="1"/>
      <c r="G608" s="1"/>
      <c r="H608" s="1"/>
    </row>
    <row r="609">
      <c r="C609" s="1"/>
      <c r="F609" s="1"/>
      <c r="G609" s="1"/>
      <c r="H609" s="1"/>
    </row>
    <row r="610">
      <c r="C610" s="1"/>
      <c r="F610" s="1"/>
      <c r="G610" s="1"/>
      <c r="H610" s="1"/>
    </row>
    <row r="611">
      <c r="C611" s="1"/>
      <c r="F611" s="1"/>
      <c r="G611" s="1"/>
      <c r="H611" s="1"/>
    </row>
    <row r="612">
      <c r="C612" s="1"/>
      <c r="F612" s="1"/>
      <c r="G612" s="1"/>
      <c r="H612" s="1"/>
    </row>
    <row r="613">
      <c r="C613" s="1"/>
      <c r="F613" s="1"/>
      <c r="G613" s="1"/>
      <c r="H613" s="1"/>
    </row>
    <row r="614">
      <c r="C614" s="1"/>
      <c r="F614" s="1"/>
      <c r="G614" s="1"/>
      <c r="H614" s="1"/>
    </row>
    <row r="615">
      <c r="C615" s="1"/>
      <c r="F615" s="1"/>
      <c r="G615" s="1"/>
      <c r="H615" s="1"/>
    </row>
    <row r="616">
      <c r="C616" s="1"/>
      <c r="F616" s="1"/>
      <c r="G616" s="1"/>
      <c r="H616" s="1"/>
    </row>
    <row r="617">
      <c r="C617" s="1"/>
      <c r="F617" s="1"/>
      <c r="G617" s="1"/>
      <c r="H617" s="1"/>
    </row>
    <row r="618">
      <c r="C618" s="1"/>
      <c r="F618" s="1"/>
      <c r="G618" s="1"/>
      <c r="H618" s="1"/>
    </row>
    <row r="619">
      <c r="C619" s="1"/>
      <c r="F619" s="1"/>
      <c r="G619" s="1"/>
      <c r="H619" s="1"/>
    </row>
    <row r="620">
      <c r="C620" s="1"/>
      <c r="F620" s="1"/>
      <c r="G620" s="1"/>
      <c r="H620" s="1"/>
    </row>
    <row r="621">
      <c r="C621" s="1"/>
      <c r="F621" s="1"/>
      <c r="G621" s="1"/>
      <c r="H621" s="1"/>
    </row>
    <row r="622">
      <c r="C622" s="1"/>
      <c r="F622" s="1"/>
      <c r="G622" s="1"/>
      <c r="H622" s="1"/>
    </row>
    <row r="623">
      <c r="C623" s="1"/>
      <c r="F623" s="1"/>
      <c r="G623" s="1"/>
      <c r="H623" s="1"/>
    </row>
    <row r="624">
      <c r="C624" s="1"/>
      <c r="F624" s="1"/>
      <c r="G624" s="1"/>
      <c r="H624" s="1"/>
    </row>
    <row r="625">
      <c r="C625" s="1"/>
      <c r="F625" s="1"/>
      <c r="G625" s="1"/>
      <c r="H625" s="1"/>
    </row>
    <row r="626">
      <c r="C626" s="1"/>
      <c r="F626" s="1"/>
      <c r="G626" s="1"/>
      <c r="H626" s="1"/>
    </row>
    <row r="627">
      <c r="C627" s="1"/>
      <c r="F627" s="1"/>
      <c r="G627" s="1"/>
      <c r="H627" s="1"/>
    </row>
    <row r="628">
      <c r="C628" s="1"/>
      <c r="F628" s="1"/>
      <c r="G628" s="1"/>
      <c r="H628" s="1"/>
    </row>
    <row r="629">
      <c r="C629" s="1"/>
      <c r="F629" s="1"/>
      <c r="G629" s="1"/>
      <c r="H629" s="1"/>
    </row>
    <row r="630">
      <c r="C630" s="1"/>
      <c r="F630" s="1"/>
      <c r="G630" s="1"/>
      <c r="H630" s="1"/>
    </row>
    <row r="631">
      <c r="C631" s="1"/>
      <c r="F631" s="1"/>
      <c r="G631" s="1"/>
      <c r="H631" s="1"/>
    </row>
    <row r="632">
      <c r="C632" s="1"/>
      <c r="F632" s="1"/>
      <c r="G632" s="1"/>
      <c r="H632" s="1"/>
    </row>
    <row r="633">
      <c r="C633" s="1"/>
      <c r="F633" s="1"/>
      <c r="G633" s="1"/>
      <c r="H633" s="1"/>
    </row>
    <row r="634">
      <c r="C634" s="1"/>
      <c r="F634" s="1"/>
      <c r="G634" s="1"/>
      <c r="H634" s="1"/>
    </row>
    <row r="635">
      <c r="C635" s="1"/>
      <c r="F635" s="1"/>
      <c r="G635" s="1"/>
      <c r="H635" s="1"/>
    </row>
    <row r="636">
      <c r="C636" s="1"/>
      <c r="F636" s="1"/>
      <c r="G636" s="1"/>
      <c r="H636" s="1"/>
    </row>
    <row r="637">
      <c r="C637" s="1"/>
      <c r="F637" s="1"/>
      <c r="G637" s="1"/>
      <c r="H637" s="1"/>
    </row>
    <row r="638">
      <c r="C638" s="1"/>
      <c r="F638" s="1"/>
      <c r="G638" s="1"/>
      <c r="H638" s="1"/>
    </row>
    <row r="639">
      <c r="C639" s="1"/>
      <c r="F639" s="1"/>
      <c r="G639" s="1"/>
      <c r="H639" s="1"/>
    </row>
    <row r="640">
      <c r="C640" s="1"/>
      <c r="F640" s="1"/>
      <c r="G640" s="1"/>
      <c r="H640" s="1"/>
    </row>
    <row r="641">
      <c r="C641" s="1"/>
      <c r="F641" s="1"/>
      <c r="G641" s="1"/>
      <c r="H641" s="1"/>
    </row>
    <row r="642">
      <c r="C642" s="1"/>
      <c r="F642" s="1"/>
      <c r="G642" s="1"/>
      <c r="H642" s="1"/>
    </row>
    <row r="643">
      <c r="C643" s="1"/>
      <c r="F643" s="1"/>
      <c r="G643" s="1"/>
      <c r="H643" s="1"/>
    </row>
    <row r="644">
      <c r="C644" s="1"/>
      <c r="F644" s="1"/>
      <c r="G644" s="1"/>
      <c r="H644" s="1"/>
    </row>
    <row r="645">
      <c r="C645" s="1"/>
      <c r="F645" s="1"/>
      <c r="G645" s="1"/>
      <c r="H645" s="1"/>
    </row>
    <row r="646">
      <c r="C646" s="1"/>
      <c r="F646" s="1"/>
      <c r="G646" s="1"/>
      <c r="H646" s="1"/>
    </row>
    <row r="647">
      <c r="C647" s="1"/>
      <c r="F647" s="1"/>
      <c r="G647" s="1"/>
      <c r="H647" s="1"/>
    </row>
    <row r="648">
      <c r="C648" s="1"/>
      <c r="F648" s="1"/>
      <c r="G648" s="1"/>
      <c r="H648" s="1"/>
    </row>
    <row r="649">
      <c r="C649" s="1"/>
      <c r="F649" s="1"/>
      <c r="G649" s="1"/>
      <c r="H649" s="1"/>
    </row>
    <row r="650">
      <c r="C650" s="1"/>
      <c r="F650" s="1"/>
      <c r="G650" s="1"/>
      <c r="H650" s="1"/>
    </row>
    <row r="651">
      <c r="C651" s="1"/>
      <c r="F651" s="1"/>
      <c r="G651" s="1"/>
      <c r="H651" s="1"/>
    </row>
    <row r="652">
      <c r="C652" s="1"/>
      <c r="F652" s="1"/>
      <c r="G652" s="1"/>
      <c r="H652" s="1"/>
    </row>
    <row r="653">
      <c r="C653" s="1"/>
      <c r="F653" s="1"/>
      <c r="G653" s="1"/>
      <c r="H653" s="1"/>
    </row>
    <row r="654">
      <c r="C654" s="1"/>
      <c r="F654" s="1"/>
      <c r="G654" s="1"/>
      <c r="H654" s="1"/>
    </row>
    <row r="655">
      <c r="C655" s="1"/>
      <c r="F655" s="1"/>
      <c r="G655" s="1"/>
      <c r="H655" s="1"/>
    </row>
    <row r="656">
      <c r="C656" s="1"/>
      <c r="F656" s="1"/>
      <c r="G656" s="1"/>
      <c r="H656" s="1"/>
    </row>
    <row r="657">
      <c r="C657" s="1"/>
      <c r="F657" s="1"/>
      <c r="G657" s="1"/>
      <c r="H657" s="1"/>
    </row>
    <row r="658">
      <c r="C658" s="1"/>
      <c r="F658" s="1"/>
      <c r="G658" s="1"/>
      <c r="H658" s="1"/>
    </row>
    <row r="659">
      <c r="C659" s="1"/>
      <c r="F659" s="1"/>
      <c r="G659" s="1"/>
      <c r="H659" s="1"/>
    </row>
    <row r="660">
      <c r="C660" s="1"/>
      <c r="F660" s="1"/>
      <c r="G660" s="1"/>
      <c r="H660" s="1"/>
    </row>
    <row r="661">
      <c r="C661" s="1"/>
      <c r="F661" s="1"/>
      <c r="G661" s="1"/>
      <c r="H661" s="1"/>
    </row>
    <row r="662">
      <c r="C662" s="1"/>
      <c r="F662" s="1"/>
      <c r="G662" s="1"/>
      <c r="H662" s="1"/>
    </row>
    <row r="663">
      <c r="C663" s="1"/>
      <c r="F663" s="1"/>
      <c r="G663" s="1"/>
      <c r="H663" s="1"/>
    </row>
    <row r="664">
      <c r="C664" s="1"/>
      <c r="F664" s="1"/>
      <c r="G664" s="1"/>
      <c r="H664" s="1"/>
    </row>
    <row r="665">
      <c r="C665" s="1"/>
      <c r="F665" s="1"/>
      <c r="G665" s="1"/>
      <c r="H665" s="1"/>
    </row>
    <row r="666">
      <c r="C666" s="1"/>
      <c r="F666" s="1"/>
      <c r="G666" s="1"/>
      <c r="H666" s="1"/>
    </row>
    <row r="667">
      <c r="C667" s="1"/>
      <c r="F667" s="1"/>
      <c r="G667" s="1"/>
      <c r="H667" s="1"/>
    </row>
    <row r="668">
      <c r="C668" s="1"/>
      <c r="F668" s="1"/>
      <c r="G668" s="1"/>
      <c r="H668" s="1"/>
    </row>
    <row r="669">
      <c r="C669" s="1"/>
      <c r="F669" s="1"/>
      <c r="G669" s="1"/>
      <c r="H669" s="1"/>
    </row>
    <row r="670">
      <c r="C670" s="1"/>
      <c r="F670" s="1"/>
      <c r="G670" s="1"/>
      <c r="H670" s="1"/>
    </row>
    <row r="671">
      <c r="C671" s="1"/>
      <c r="F671" s="1"/>
      <c r="G671" s="1"/>
      <c r="H671" s="1"/>
    </row>
    <row r="672">
      <c r="C672" s="1"/>
      <c r="F672" s="1"/>
      <c r="G672" s="1"/>
      <c r="H672" s="1"/>
    </row>
    <row r="673">
      <c r="C673" s="1"/>
      <c r="F673" s="1"/>
      <c r="G673" s="1"/>
      <c r="H673" s="1"/>
    </row>
    <row r="674">
      <c r="C674" s="1"/>
      <c r="F674" s="1"/>
      <c r="G674" s="1"/>
      <c r="H674" s="1"/>
    </row>
    <row r="675">
      <c r="C675" s="1"/>
      <c r="F675" s="1"/>
      <c r="G675" s="1"/>
      <c r="H675" s="1"/>
    </row>
    <row r="676">
      <c r="C676" s="1"/>
      <c r="F676" s="1"/>
      <c r="G676" s="1"/>
      <c r="H676" s="1"/>
    </row>
    <row r="677">
      <c r="C677" s="1"/>
      <c r="F677" s="1"/>
      <c r="G677" s="1"/>
      <c r="H677" s="1"/>
    </row>
    <row r="678">
      <c r="C678" s="1"/>
      <c r="F678" s="1"/>
      <c r="G678" s="1"/>
      <c r="H678" s="1"/>
    </row>
    <row r="679">
      <c r="C679" s="1"/>
      <c r="F679" s="1"/>
      <c r="G679" s="1"/>
      <c r="H679" s="1"/>
    </row>
    <row r="680">
      <c r="C680" s="1"/>
      <c r="F680" s="1"/>
      <c r="G680" s="1"/>
      <c r="H680" s="1"/>
    </row>
    <row r="681">
      <c r="C681" s="1"/>
      <c r="F681" s="1"/>
      <c r="G681" s="1"/>
      <c r="H681" s="1"/>
    </row>
    <row r="682">
      <c r="C682" s="1"/>
      <c r="F682" s="1"/>
      <c r="G682" s="1"/>
      <c r="H682" s="1"/>
    </row>
    <row r="683">
      <c r="C683" s="1"/>
      <c r="F683" s="1"/>
      <c r="G683" s="1"/>
      <c r="H683" s="1"/>
    </row>
    <row r="684">
      <c r="C684" s="1"/>
      <c r="F684" s="1"/>
      <c r="G684" s="1"/>
      <c r="H684" s="1"/>
    </row>
    <row r="685">
      <c r="C685" s="1"/>
      <c r="F685" s="1"/>
      <c r="G685" s="1"/>
      <c r="H685" s="1"/>
    </row>
    <row r="686">
      <c r="C686" s="1"/>
      <c r="F686" s="1"/>
      <c r="G686" s="1"/>
      <c r="H686" s="1"/>
    </row>
    <row r="687">
      <c r="C687" s="1"/>
      <c r="F687" s="1"/>
      <c r="G687" s="1"/>
      <c r="H687" s="1"/>
    </row>
    <row r="688">
      <c r="C688" s="1"/>
      <c r="F688" s="1"/>
      <c r="G688" s="1"/>
      <c r="H688" s="1"/>
    </row>
    <row r="689">
      <c r="C689" s="1"/>
      <c r="F689" s="1"/>
      <c r="G689" s="1"/>
      <c r="H689" s="1"/>
    </row>
    <row r="690">
      <c r="C690" s="1"/>
      <c r="F690" s="1"/>
      <c r="G690" s="1"/>
      <c r="H690" s="1"/>
    </row>
    <row r="691">
      <c r="C691" s="1"/>
      <c r="F691" s="1"/>
      <c r="G691" s="1"/>
      <c r="H691" s="1"/>
    </row>
    <row r="692">
      <c r="C692" s="1"/>
      <c r="F692" s="1"/>
      <c r="G692" s="1"/>
      <c r="H692" s="1"/>
    </row>
    <row r="693">
      <c r="C693" s="1"/>
      <c r="F693" s="1"/>
      <c r="G693" s="1"/>
      <c r="H693" s="1"/>
    </row>
    <row r="694">
      <c r="C694" s="1"/>
      <c r="F694" s="1"/>
      <c r="G694" s="1"/>
      <c r="H694" s="1"/>
    </row>
    <row r="695">
      <c r="C695" s="1"/>
      <c r="F695" s="1"/>
      <c r="G695" s="1"/>
      <c r="H695" s="1"/>
    </row>
    <row r="696">
      <c r="C696" s="1"/>
      <c r="F696" s="1"/>
      <c r="G696" s="1"/>
      <c r="H696" s="1"/>
    </row>
    <row r="697">
      <c r="C697" s="1"/>
      <c r="F697" s="1"/>
      <c r="G697" s="1"/>
      <c r="H697" s="1"/>
    </row>
    <row r="698">
      <c r="C698" s="1"/>
      <c r="F698" s="1"/>
      <c r="G698" s="1"/>
      <c r="H698" s="1"/>
    </row>
    <row r="699">
      <c r="C699" s="1"/>
      <c r="F699" s="1"/>
      <c r="G699" s="1"/>
      <c r="H699" s="1"/>
    </row>
    <row r="700">
      <c r="C700" s="1"/>
      <c r="F700" s="1"/>
      <c r="G700" s="1"/>
      <c r="H700" s="1"/>
    </row>
    <row r="701">
      <c r="C701" s="1"/>
      <c r="F701" s="1"/>
      <c r="G701" s="1"/>
      <c r="H701" s="1"/>
    </row>
    <row r="702">
      <c r="C702" s="1"/>
      <c r="F702" s="1"/>
      <c r="G702" s="1"/>
      <c r="H702" s="1"/>
    </row>
    <row r="703">
      <c r="C703" s="1"/>
      <c r="F703" s="1"/>
      <c r="G703" s="1"/>
      <c r="H703" s="1"/>
    </row>
    <row r="704">
      <c r="C704" s="1"/>
      <c r="F704" s="1"/>
      <c r="G704" s="1"/>
      <c r="H704" s="1"/>
    </row>
    <row r="705">
      <c r="C705" s="1"/>
      <c r="F705" s="1"/>
      <c r="G705" s="1"/>
      <c r="H705" s="1"/>
    </row>
    <row r="706">
      <c r="C706" s="1"/>
      <c r="F706" s="1"/>
      <c r="G706" s="1"/>
      <c r="H706" s="1"/>
    </row>
    <row r="707">
      <c r="C707" s="1"/>
      <c r="F707" s="1"/>
      <c r="G707" s="1"/>
      <c r="H707" s="1"/>
    </row>
    <row r="708">
      <c r="C708" s="1"/>
      <c r="F708" s="1"/>
      <c r="G708" s="1"/>
      <c r="H708" s="1"/>
    </row>
    <row r="709">
      <c r="C709" s="1"/>
      <c r="F709" s="1"/>
      <c r="G709" s="1"/>
      <c r="H709" s="1"/>
    </row>
    <row r="710">
      <c r="C710" s="1"/>
      <c r="F710" s="1"/>
      <c r="G710" s="1"/>
      <c r="H710" s="1"/>
    </row>
    <row r="711">
      <c r="C711" s="1"/>
      <c r="F711" s="1"/>
      <c r="G711" s="1"/>
      <c r="H711" s="1"/>
    </row>
    <row r="712">
      <c r="C712" s="1"/>
      <c r="F712" s="1"/>
      <c r="G712" s="1"/>
      <c r="H712" s="1"/>
    </row>
    <row r="713">
      <c r="C713" s="1"/>
      <c r="F713" s="1"/>
      <c r="G713" s="1"/>
      <c r="H713" s="1"/>
    </row>
    <row r="714">
      <c r="C714" s="1"/>
      <c r="F714" s="1"/>
      <c r="G714" s="1"/>
      <c r="H714" s="1"/>
    </row>
    <row r="715">
      <c r="C715" s="1"/>
      <c r="F715" s="1"/>
      <c r="G715" s="1"/>
      <c r="H715" s="1"/>
    </row>
    <row r="716">
      <c r="C716" s="1"/>
      <c r="F716" s="1"/>
      <c r="G716" s="1"/>
      <c r="H716" s="1"/>
    </row>
    <row r="717">
      <c r="C717" s="1"/>
      <c r="F717" s="1"/>
      <c r="G717" s="1"/>
      <c r="H717" s="1"/>
    </row>
    <row r="718">
      <c r="C718" s="1"/>
      <c r="F718" s="1"/>
      <c r="G718" s="1"/>
      <c r="H718" s="1"/>
    </row>
    <row r="719">
      <c r="C719" s="1"/>
      <c r="F719" s="1"/>
      <c r="G719" s="1"/>
      <c r="H719" s="1"/>
    </row>
    <row r="720">
      <c r="C720" s="1"/>
      <c r="F720" s="1"/>
      <c r="G720" s="1"/>
      <c r="H720" s="1"/>
    </row>
    <row r="721">
      <c r="C721" s="1"/>
      <c r="F721" s="1"/>
      <c r="G721" s="1"/>
      <c r="H721" s="1"/>
    </row>
    <row r="722">
      <c r="C722" s="1"/>
      <c r="F722" s="1"/>
      <c r="G722" s="1"/>
      <c r="H722" s="1"/>
    </row>
    <row r="723">
      <c r="C723" s="1"/>
      <c r="F723" s="1"/>
      <c r="G723" s="1"/>
      <c r="H723" s="1"/>
    </row>
    <row r="724">
      <c r="C724" s="1"/>
      <c r="F724" s="1"/>
      <c r="G724" s="1"/>
      <c r="H724" s="1"/>
    </row>
    <row r="725">
      <c r="C725" s="1"/>
      <c r="F725" s="1"/>
      <c r="G725" s="1"/>
      <c r="H725" s="1"/>
    </row>
    <row r="726">
      <c r="C726" s="1"/>
      <c r="F726" s="1"/>
      <c r="G726" s="1"/>
      <c r="H726" s="1"/>
    </row>
    <row r="727">
      <c r="C727" s="1"/>
      <c r="F727" s="1"/>
      <c r="G727" s="1"/>
      <c r="H727" s="1"/>
    </row>
    <row r="728">
      <c r="C728" s="1"/>
      <c r="F728" s="1"/>
      <c r="G728" s="1"/>
      <c r="H728" s="1"/>
    </row>
    <row r="729">
      <c r="C729" s="1"/>
      <c r="F729" s="1"/>
      <c r="G729" s="1"/>
      <c r="H729" s="1"/>
    </row>
    <row r="730">
      <c r="C730" s="1"/>
      <c r="F730" s="1"/>
      <c r="G730" s="1"/>
      <c r="H730" s="1"/>
    </row>
    <row r="731">
      <c r="C731" s="1"/>
      <c r="F731" s="1"/>
      <c r="G731" s="1"/>
      <c r="H731" s="1"/>
    </row>
    <row r="732">
      <c r="C732" s="1"/>
      <c r="F732" s="1"/>
      <c r="G732" s="1"/>
      <c r="H732" s="1"/>
    </row>
    <row r="733">
      <c r="C733" s="1"/>
      <c r="F733" s="1"/>
      <c r="G733" s="1"/>
      <c r="H733" s="1"/>
    </row>
    <row r="734">
      <c r="C734" s="1"/>
      <c r="F734" s="1"/>
      <c r="G734" s="1"/>
      <c r="H734" s="1"/>
    </row>
    <row r="735">
      <c r="C735" s="1"/>
      <c r="F735" s="1"/>
      <c r="G735" s="1"/>
      <c r="H735" s="1"/>
    </row>
    <row r="736">
      <c r="C736" s="1"/>
      <c r="F736" s="1"/>
      <c r="G736" s="1"/>
      <c r="H736" s="1"/>
    </row>
    <row r="737">
      <c r="C737" s="1"/>
      <c r="F737" s="1"/>
      <c r="G737" s="1"/>
      <c r="H737" s="1"/>
    </row>
    <row r="738">
      <c r="C738" s="1"/>
      <c r="F738" s="1"/>
      <c r="G738" s="1"/>
      <c r="H738" s="1"/>
    </row>
    <row r="739">
      <c r="C739" s="1"/>
      <c r="F739" s="1"/>
      <c r="G739" s="1"/>
      <c r="H739" s="1"/>
    </row>
    <row r="740">
      <c r="C740" s="1"/>
      <c r="F740" s="1"/>
      <c r="G740" s="1"/>
      <c r="H740" s="1"/>
    </row>
    <row r="741">
      <c r="C741" s="1"/>
      <c r="F741" s="1"/>
      <c r="G741" s="1"/>
      <c r="H741" s="1"/>
    </row>
    <row r="742">
      <c r="C742" s="1"/>
      <c r="F742" s="1"/>
      <c r="G742" s="1"/>
      <c r="H742" s="1"/>
    </row>
    <row r="743">
      <c r="C743" s="1"/>
      <c r="F743" s="1"/>
      <c r="G743" s="1"/>
      <c r="H743" s="1"/>
    </row>
    <row r="744">
      <c r="C744" s="1"/>
      <c r="F744" s="1"/>
      <c r="G744" s="1"/>
      <c r="H744" s="1"/>
    </row>
    <row r="745">
      <c r="C745" s="1"/>
      <c r="F745" s="1"/>
      <c r="G745" s="1"/>
      <c r="H745" s="1"/>
    </row>
    <row r="746">
      <c r="C746" s="1"/>
      <c r="F746" s="1"/>
      <c r="G746" s="1"/>
      <c r="H746" s="1"/>
    </row>
    <row r="747">
      <c r="C747" s="1"/>
      <c r="F747" s="1"/>
      <c r="G747" s="1"/>
      <c r="H747" s="1"/>
    </row>
    <row r="748">
      <c r="C748" s="1"/>
      <c r="F748" s="1"/>
      <c r="G748" s="1"/>
      <c r="H748" s="1"/>
    </row>
    <row r="749">
      <c r="C749" s="1"/>
      <c r="F749" s="1"/>
      <c r="G749" s="1"/>
      <c r="H749" s="1"/>
    </row>
    <row r="750">
      <c r="C750" s="1"/>
      <c r="F750" s="1"/>
      <c r="G750" s="1"/>
      <c r="H750" s="1"/>
    </row>
    <row r="751">
      <c r="C751" s="1"/>
      <c r="F751" s="1"/>
      <c r="G751" s="1"/>
      <c r="H751" s="1"/>
    </row>
    <row r="752">
      <c r="C752" s="1"/>
      <c r="F752" s="1"/>
      <c r="G752" s="1"/>
      <c r="H752" s="1"/>
    </row>
    <row r="753">
      <c r="C753" s="1"/>
      <c r="F753" s="1"/>
      <c r="G753" s="1"/>
      <c r="H753" s="1"/>
    </row>
    <row r="754">
      <c r="C754" s="1"/>
      <c r="F754" s="1"/>
      <c r="G754" s="1"/>
      <c r="H754" s="1"/>
    </row>
    <row r="755">
      <c r="C755" s="1"/>
      <c r="F755" s="1"/>
      <c r="G755" s="1"/>
      <c r="H755" s="1"/>
    </row>
    <row r="756">
      <c r="C756" s="1"/>
      <c r="F756" s="1"/>
      <c r="G756" s="1"/>
      <c r="H756" s="1"/>
    </row>
    <row r="757">
      <c r="C757" s="1"/>
      <c r="F757" s="1"/>
      <c r="G757" s="1"/>
      <c r="H757" s="1"/>
    </row>
    <row r="758">
      <c r="C758" s="1"/>
      <c r="F758" s="1"/>
      <c r="G758" s="1"/>
      <c r="H758" s="1"/>
    </row>
    <row r="759">
      <c r="C759" s="1"/>
      <c r="F759" s="1"/>
      <c r="G759" s="1"/>
      <c r="H759" s="1"/>
    </row>
    <row r="760">
      <c r="C760" s="1"/>
      <c r="F760" s="1"/>
      <c r="G760" s="1"/>
      <c r="H760" s="1"/>
    </row>
    <row r="761">
      <c r="C761" s="1"/>
      <c r="F761" s="1"/>
      <c r="G761" s="1"/>
      <c r="H761" s="1"/>
    </row>
    <row r="762">
      <c r="C762" s="1"/>
      <c r="F762" s="1"/>
      <c r="G762" s="1"/>
      <c r="H762" s="1"/>
    </row>
    <row r="763">
      <c r="C763" s="1"/>
      <c r="F763" s="1"/>
      <c r="G763" s="1"/>
      <c r="H763" s="1"/>
    </row>
    <row r="764">
      <c r="C764" s="1"/>
      <c r="F764" s="1"/>
      <c r="G764" s="1"/>
      <c r="H764" s="1"/>
    </row>
    <row r="765">
      <c r="C765" s="1"/>
      <c r="F765" s="1"/>
      <c r="G765" s="1"/>
      <c r="H765" s="1"/>
    </row>
    <row r="766">
      <c r="C766" s="1"/>
      <c r="F766" s="1"/>
      <c r="G766" s="1"/>
      <c r="H766" s="1"/>
    </row>
    <row r="767">
      <c r="C767" s="1"/>
      <c r="F767" s="1"/>
      <c r="G767" s="1"/>
      <c r="H767" s="1"/>
    </row>
    <row r="768">
      <c r="C768" s="1"/>
      <c r="F768" s="1"/>
      <c r="G768" s="1"/>
      <c r="H768" s="1"/>
    </row>
    <row r="769">
      <c r="C769" s="1"/>
      <c r="F769" s="1"/>
      <c r="G769" s="1"/>
      <c r="H769" s="1"/>
    </row>
    <row r="770">
      <c r="C770" s="1"/>
      <c r="F770" s="1"/>
      <c r="G770" s="1"/>
      <c r="H770" s="1"/>
    </row>
    <row r="771">
      <c r="C771" s="1"/>
      <c r="F771" s="1"/>
      <c r="G771" s="1"/>
      <c r="H771" s="1"/>
    </row>
    <row r="772">
      <c r="C772" s="1"/>
      <c r="F772" s="1"/>
      <c r="G772" s="1"/>
      <c r="H772" s="1"/>
    </row>
    <row r="773">
      <c r="C773" s="1"/>
      <c r="F773" s="1"/>
      <c r="G773" s="1"/>
      <c r="H773" s="1"/>
    </row>
    <row r="774">
      <c r="C774" s="1"/>
      <c r="F774" s="1"/>
      <c r="G774" s="1"/>
      <c r="H774" s="1"/>
    </row>
    <row r="775">
      <c r="C775" s="1"/>
      <c r="F775" s="1"/>
      <c r="G775" s="1"/>
      <c r="H775" s="1"/>
    </row>
    <row r="776">
      <c r="C776" s="1"/>
      <c r="F776" s="1"/>
      <c r="G776" s="1"/>
      <c r="H776" s="1"/>
    </row>
    <row r="777">
      <c r="C777" s="1"/>
      <c r="F777" s="1"/>
      <c r="G777" s="1"/>
      <c r="H777" s="1"/>
    </row>
    <row r="778">
      <c r="C778" s="1"/>
      <c r="F778" s="1"/>
      <c r="G778" s="1"/>
      <c r="H778" s="1"/>
    </row>
    <row r="779">
      <c r="C779" s="1"/>
      <c r="F779" s="1"/>
      <c r="G779" s="1"/>
      <c r="H779" s="1"/>
    </row>
    <row r="780">
      <c r="C780" s="1"/>
      <c r="F780" s="1"/>
      <c r="G780" s="1"/>
      <c r="H780" s="1"/>
    </row>
    <row r="781">
      <c r="C781" s="1"/>
      <c r="F781" s="1"/>
      <c r="G781" s="1"/>
      <c r="H781" s="1"/>
    </row>
    <row r="782">
      <c r="C782" s="1"/>
      <c r="F782" s="1"/>
      <c r="G782" s="1"/>
      <c r="H782" s="1"/>
    </row>
    <row r="783">
      <c r="C783" s="1"/>
      <c r="F783" s="1"/>
      <c r="G783" s="1"/>
      <c r="H783" s="1"/>
    </row>
    <row r="784">
      <c r="C784" s="1"/>
      <c r="F784" s="1"/>
      <c r="G784" s="1"/>
      <c r="H784" s="1"/>
    </row>
    <row r="785">
      <c r="C785" s="1"/>
      <c r="F785" s="1"/>
      <c r="G785" s="1"/>
      <c r="H785" s="1"/>
    </row>
    <row r="786">
      <c r="C786" s="1"/>
      <c r="F786" s="1"/>
      <c r="G786" s="1"/>
      <c r="H786" s="1"/>
    </row>
    <row r="787">
      <c r="C787" s="1"/>
      <c r="F787" s="1"/>
      <c r="G787" s="1"/>
      <c r="H787" s="1"/>
    </row>
    <row r="788">
      <c r="C788" s="1"/>
      <c r="F788" s="1"/>
      <c r="G788" s="1"/>
      <c r="H788" s="1"/>
    </row>
    <row r="789">
      <c r="C789" s="1"/>
      <c r="F789" s="1"/>
      <c r="G789" s="1"/>
      <c r="H789" s="1"/>
    </row>
    <row r="790">
      <c r="C790" s="1"/>
      <c r="F790" s="1"/>
      <c r="G790" s="1"/>
      <c r="H790" s="1"/>
    </row>
    <row r="791">
      <c r="C791" s="1"/>
      <c r="F791" s="1"/>
      <c r="G791" s="1"/>
      <c r="H791" s="1"/>
    </row>
    <row r="792">
      <c r="C792" s="1"/>
      <c r="F792" s="1"/>
      <c r="G792" s="1"/>
      <c r="H792" s="1"/>
    </row>
    <row r="793">
      <c r="C793" s="1"/>
      <c r="F793" s="1"/>
      <c r="G793" s="1"/>
      <c r="H793" s="1"/>
    </row>
    <row r="794">
      <c r="C794" s="1"/>
      <c r="F794" s="1"/>
      <c r="G794" s="1"/>
      <c r="H794" s="1"/>
    </row>
    <row r="795">
      <c r="C795" s="1"/>
      <c r="F795" s="1"/>
      <c r="G795" s="1"/>
      <c r="H795" s="1"/>
    </row>
    <row r="796">
      <c r="C796" s="1"/>
      <c r="F796" s="1"/>
      <c r="G796" s="1"/>
      <c r="H796" s="1"/>
    </row>
    <row r="797">
      <c r="C797" s="1"/>
      <c r="F797" s="1"/>
      <c r="G797" s="1"/>
      <c r="H797" s="1"/>
    </row>
    <row r="798">
      <c r="C798" s="1"/>
      <c r="F798" s="1"/>
      <c r="G798" s="1"/>
      <c r="H798" s="1"/>
    </row>
    <row r="799">
      <c r="C799" s="1"/>
      <c r="F799" s="1"/>
      <c r="G799" s="1"/>
      <c r="H799" s="1"/>
    </row>
    <row r="800">
      <c r="C800" s="1"/>
      <c r="F800" s="1"/>
      <c r="G800" s="1"/>
      <c r="H800" s="1"/>
    </row>
    <row r="801">
      <c r="C801" s="1"/>
      <c r="F801" s="1"/>
      <c r="G801" s="1"/>
      <c r="H801" s="1"/>
    </row>
    <row r="802">
      <c r="C802" s="1"/>
      <c r="F802" s="1"/>
      <c r="G802" s="1"/>
      <c r="H802" s="1"/>
    </row>
    <row r="803">
      <c r="C803" s="1"/>
      <c r="F803" s="1"/>
      <c r="G803" s="1"/>
      <c r="H803" s="1"/>
    </row>
    <row r="804">
      <c r="C804" s="1"/>
      <c r="F804" s="1"/>
      <c r="G804" s="1"/>
      <c r="H804" s="1"/>
    </row>
    <row r="805">
      <c r="C805" s="1"/>
      <c r="F805" s="1"/>
      <c r="G805" s="1"/>
      <c r="H805" s="1"/>
    </row>
    <row r="806">
      <c r="C806" s="1"/>
      <c r="F806" s="1"/>
      <c r="G806" s="1"/>
      <c r="H806" s="1"/>
    </row>
    <row r="807">
      <c r="C807" s="1"/>
      <c r="F807" s="1"/>
      <c r="G807" s="1"/>
      <c r="H807" s="1"/>
    </row>
    <row r="808">
      <c r="C808" s="1"/>
      <c r="F808" s="1"/>
      <c r="G808" s="1"/>
      <c r="H808" s="1"/>
    </row>
    <row r="809">
      <c r="C809" s="1"/>
      <c r="F809" s="1"/>
      <c r="G809" s="1"/>
      <c r="H809" s="1"/>
    </row>
    <row r="810">
      <c r="C810" s="1"/>
      <c r="F810" s="1"/>
      <c r="G810" s="1"/>
      <c r="H810" s="1"/>
    </row>
    <row r="811">
      <c r="C811" s="1"/>
      <c r="F811" s="1"/>
      <c r="G811" s="1"/>
      <c r="H811" s="1"/>
    </row>
    <row r="812">
      <c r="C812" s="1"/>
      <c r="F812" s="1"/>
      <c r="G812" s="1"/>
      <c r="H812" s="1"/>
    </row>
    <row r="813">
      <c r="C813" s="1"/>
      <c r="F813" s="1"/>
      <c r="G813" s="1"/>
      <c r="H813" s="1"/>
    </row>
    <row r="814">
      <c r="C814" s="1"/>
      <c r="F814" s="1"/>
      <c r="G814" s="1"/>
      <c r="H814" s="1"/>
    </row>
    <row r="815">
      <c r="C815" s="1"/>
      <c r="F815" s="1"/>
      <c r="G815" s="1"/>
      <c r="H815" s="1"/>
    </row>
    <row r="816">
      <c r="C816" s="1"/>
      <c r="F816" s="1"/>
      <c r="G816" s="1"/>
      <c r="H816" s="1"/>
    </row>
    <row r="817">
      <c r="C817" s="1"/>
      <c r="F817" s="1"/>
      <c r="G817" s="1"/>
      <c r="H817" s="1"/>
    </row>
    <row r="818">
      <c r="C818" s="1"/>
      <c r="F818" s="1"/>
      <c r="G818" s="1"/>
      <c r="H818" s="1"/>
    </row>
    <row r="819">
      <c r="C819" s="1"/>
      <c r="F819" s="1"/>
      <c r="G819" s="1"/>
      <c r="H819" s="1"/>
    </row>
    <row r="820">
      <c r="C820" s="1"/>
      <c r="F820" s="1"/>
      <c r="G820" s="1"/>
      <c r="H820" s="1"/>
    </row>
    <row r="821">
      <c r="C821" s="1"/>
      <c r="F821" s="1"/>
      <c r="G821" s="1"/>
      <c r="H821" s="1"/>
    </row>
    <row r="822">
      <c r="C822" s="1"/>
      <c r="F822" s="1"/>
      <c r="G822" s="1"/>
      <c r="H822" s="1"/>
    </row>
    <row r="823">
      <c r="C823" s="1"/>
      <c r="F823" s="1"/>
      <c r="G823" s="1"/>
      <c r="H823" s="1"/>
    </row>
    <row r="824">
      <c r="C824" s="1"/>
      <c r="F824" s="1"/>
      <c r="G824" s="1"/>
      <c r="H824" s="1"/>
    </row>
    <row r="825">
      <c r="C825" s="1"/>
      <c r="F825" s="1"/>
      <c r="G825" s="1"/>
      <c r="H825" s="1"/>
    </row>
    <row r="826">
      <c r="C826" s="1"/>
      <c r="F826" s="1"/>
      <c r="G826" s="1"/>
      <c r="H826" s="1"/>
    </row>
    <row r="827">
      <c r="C827" s="1"/>
      <c r="F827" s="1"/>
      <c r="G827" s="1"/>
      <c r="H827" s="1"/>
    </row>
    <row r="828">
      <c r="C828" s="1"/>
      <c r="F828" s="1"/>
      <c r="G828" s="1"/>
      <c r="H828" s="1"/>
    </row>
    <row r="829">
      <c r="C829" s="1"/>
      <c r="F829" s="1"/>
      <c r="G829" s="1"/>
      <c r="H829" s="1"/>
    </row>
    <row r="830">
      <c r="C830" s="1"/>
      <c r="F830" s="1"/>
      <c r="G830" s="1"/>
      <c r="H830" s="1"/>
    </row>
    <row r="831">
      <c r="C831" s="1"/>
      <c r="F831" s="1"/>
      <c r="G831" s="1"/>
      <c r="H831" s="1"/>
    </row>
    <row r="832">
      <c r="C832" s="1"/>
      <c r="F832" s="1"/>
      <c r="G832" s="1"/>
      <c r="H832" s="1"/>
    </row>
    <row r="833">
      <c r="C833" s="1"/>
      <c r="F833" s="1"/>
      <c r="G833" s="1"/>
      <c r="H833" s="1"/>
    </row>
    <row r="834">
      <c r="C834" s="1"/>
      <c r="F834" s="1"/>
      <c r="G834" s="1"/>
      <c r="H834" s="1"/>
    </row>
    <row r="835">
      <c r="C835" s="1"/>
      <c r="F835" s="1"/>
      <c r="G835" s="1"/>
      <c r="H835" s="1"/>
    </row>
    <row r="836">
      <c r="C836" s="1"/>
      <c r="F836" s="1"/>
      <c r="G836" s="1"/>
      <c r="H836" s="1"/>
    </row>
    <row r="837">
      <c r="C837" s="1"/>
      <c r="F837" s="1"/>
      <c r="G837" s="1"/>
      <c r="H837" s="1"/>
    </row>
    <row r="838">
      <c r="C838" s="1"/>
      <c r="F838" s="1"/>
      <c r="G838" s="1"/>
      <c r="H838" s="1"/>
    </row>
    <row r="839">
      <c r="C839" s="1"/>
      <c r="F839" s="1"/>
      <c r="G839" s="1"/>
      <c r="H839" s="1"/>
    </row>
    <row r="840">
      <c r="C840" s="1"/>
      <c r="F840" s="1"/>
      <c r="G840" s="1"/>
      <c r="H840" s="1"/>
    </row>
    <row r="841">
      <c r="C841" s="1"/>
      <c r="F841" s="1"/>
      <c r="G841" s="1"/>
      <c r="H841" s="1"/>
    </row>
    <row r="842">
      <c r="C842" s="1"/>
      <c r="F842" s="1"/>
      <c r="G842" s="1"/>
      <c r="H842" s="1"/>
    </row>
    <row r="843">
      <c r="C843" s="1"/>
      <c r="F843" s="1"/>
      <c r="G843" s="1"/>
      <c r="H843" s="1"/>
    </row>
    <row r="844">
      <c r="C844" s="1"/>
      <c r="F844" s="1"/>
      <c r="G844" s="1"/>
      <c r="H844" s="1"/>
    </row>
    <row r="845">
      <c r="C845" s="1"/>
      <c r="F845" s="1"/>
      <c r="G845" s="1"/>
      <c r="H845" s="1"/>
    </row>
    <row r="846">
      <c r="C846" s="1"/>
      <c r="F846" s="1"/>
      <c r="G846" s="1"/>
      <c r="H846" s="1"/>
    </row>
    <row r="847">
      <c r="C847" s="1"/>
      <c r="F847" s="1"/>
      <c r="G847" s="1"/>
      <c r="H847" s="1"/>
    </row>
    <row r="848">
      <c r="C848" s="1"/>
      <c r="F848" s="1"/>
      <c r="G848" s="1"/>
      <c r="H848" s="1"/>
    </row>
    <row r="849">
      <c r="C849" s="1"/>
      <c r="F849" s="1"/>
      <c r="G849" s="1"/>
      <c r="H849" s="1"/>
    </row>
    <row r="850">
      <c r="C850" s="1"/>
      <c r="F850" s="1"/>
      <c r="G850" s="1"/>
      <c r="H850" s="1"/>
    </row>
    <row r="851">
      <c r="C851" s="1"/>
      <c r="F851" s="1"/>
      <c r="G851" s="1"/>
      <c r="H851" s="1"/>
    </row>
    <row r="852">
      <c r="C852" s="1"/>
      <c r="F852" s="1"/>
      <c r="G852" s="1"/>
      <c r="H852" s="1"/>
    </row>
    <row r="853">
      <c r="C853" s="1"/>
      <c r="F853" s="1"/>
      <c r="G853" s="1"/>
      <c r="H853" s="1"/>
    </row>
    <row r="854">
      <c r="C854" s="1"/>
      <c r="F854" s="1"/>
      <c r="G854" s="1"/>
      <c r="H854" s="1"/>
    </row>
    <row r="855">
      <c r="C855" s="1"/>
      <c r="F855" s="1"/>
      <c r="G855" s="1"/>
      <c r="H855" s="1"/>
    </row>
    <row r="856">
      <c r="C856" s="1"/>
      <c r="F856" s="1"/>
      <c r="G856" s="1"/>
      <c r="H856" s="1"/>
    </row>
    <row r="857">
      <c r="C857" s="1"/>
      <c r="F857" s="1"/>
      <c r="G857" s="1"/>
      <c r="H857" s="1"/>
    </row>
    <row r="858">
      <c r="C858" s="1"/>
      <c r="F858" s="1"/>
      <c r="G858" s="1"/>
      <c r="H858" s="1"/>
    </row>
    <row r="859">
      <c r="C859" s="1"/>
      <c r="F859" s="1"/>
      <c r="G859" s="1"/>
      <c r="H859" s="1"/>
    </row>
    <row r="860">
      <c r="C860" s="1"/>
      <c r="F860" s="1"/>
      <c r="G860" s="1"/>
      <c r="H860" s="1"/>
    </row>
    <row r="861">
      <c r="C861" s="1"/>
      <c r="F861" s="1"/>
      <c r="G861" s="1"/>
      <c r="H861" s="1"/>
    </row>
    <row r="862">
      <c r="C862" s="1"/>
      <c r="F862" s="1"/>
      <c r="G862" s="1"/>
      <c r="H862" s="1"/>
    </row>
    <row r="863">
      <c r="C863" s="1"/>
      <c r="F863" s="1"/>
      <c r="G863" s="1"/>
      <c r="H863" s="1"/>
    </row>
    <row r="864">
      <c r="C864" s="1"/>
      <c r="F864" s="1"/>
      <c r="G864" s="1"/>
      <c r="H864" s="1"/>
    </row>
    <row r="865">
      <c r="C865" s="1"/>
      <c r="F865" s="1"/>
      <c r="G865" s="1"/>
      <c r="H865" s="1"/>
    </row>
    <row r="866">
      <c r="C866" s="1"/>
      <c r="F866" s="1"/>
      <c r="G866" s="1"/>
      <c r="H866" s="1"/>
    </row>
    <row r="867">
      <c r="C867" s="1"/>
      <c r="F867" s="1"/>
      <c r="G867" s="1"/>
      <c r="H867" s="1"/>
    </row>
    <row r="868">
      <c r="C868" s="1"/>
      <c r="F868" s="1"/>
      <c r="G868" s="1"/>
      <c r="H868" s="1"/>
    </row>
    <row r="869">
      <c r="C869" s="1"/>
      <c r="F869" s="1"/>
      <c r="G869" s="1"/>
      <c r="H869" s="1"/>
    </row>
    <row r="870">
      <c r="C870" s="1"/>
      <c r="F870" s="1"/>
      <c r="G870" s="1"/>
      <c r="H870" s="1"/>
    </row>
    <row r="871">
      <c r="C871" s="1"/>
      <c r="F871" s="1"/>
      <c r="G871" s="1"/>
      <c r="H871" s="1"/>
    </row>
    <row r="872">
      <c r="C872" s="1"/>
      <c r="F872" s="1"/>
      <c r="G872" s="1"/>
      <c r="H872" s="1"/>
    </row>
    <row r="873">
      <c r="C873" s="1"/>
      <c r="F873" s="1"/>
      <c r="G873" s="1"/>
      <c r="H873" s="1"/>
    </row>
    <row r="874">
      <c r="C874" s="1"/>
      <c r="F874" s="1"/>
      <c r="G874" s="1"/>
      <c r="H874" s="1"/>
    </row>
    <row r="875">
      <c r="C875" s="1"/>
      <c r="F875" s="1"/>
      <c r="G875" s="1"/>
      <c r="H875" s="1"/>
    </row>
    <row r="876">
      <c r="C876" s="1"/>
      <c r="F876" s="1"/>
      <c r="G876" s="1"/>
      <c r="H876" s="1"/>
    </row>
    <row r="877">
      <c r="C877" s="1"/>
      <c r="F877" s="1"/>
      <c r="G877" s="1"/>
      <c r="H877" s="1"/>
    </row>
    <row r="878">
      <c r="C878" s="1"/>
      <c r="F878" s="1"/>
      <c r="G878" s="1"/>
      <c r="H878" s="1"/>
    </row>
    <row r="879">
      <c r="C879" s="1"/>
      <c r="F879" s="1"/>
      <c r="G879" s="1"/>
      <c r="H879" s="1"/>
    </row>
    <row r="880">
      <c r="C880" s="1"/>
      <c r="F880" s="1"/>
      <c r="G880" s="1"/>
      <c r="H880" s="1"/>
    </row>
    <row r="881">
      <c r="C881" s="1"/>
      <c r="F881" s="1"/>
      <c r="G881" s="1"/>
      <c r="H881" s="1"/>
    </row>
    <row r="882">
      <c r="C882" s="1"/>
      <c r="F882" s="1"/>
      <c r="G882" s="1"/>
      <c r="H882" s="1"/>
    </row>
    <row r="883">
      <c r="C883" s="1"/>
      <c r="F883" s="1"/>
      <c r="G883" s="1"/>
      <c r="H883" s="1"/>
    </row>
    <row r="884">
      <c r="C884" s="1"/>
      <c r="F884" s="1"/>
      <c r="G884" s="1"/>
      <c r="H884" s="1"/>
    </row>
    <row r="885">
      <c r="C885" s="1"/>
      <c r="F885" s="1"/>
      <c r="G885" s="1"/>
      <c r="H885" s="1"/>
    </row>
    <row r="886">
      <c r="C886" s="1"/>
      <c r="F886" s="1"/>
      <c r="G886" s="1"/>
      <c r="H886" s="1"/>
    </row>
    <row r="887">
      <c r="C887" s="1"/>
      <c r="F887" s="1"/>
      <c r="G887" s="1"/>
      <c r="H887" s="1"/>
    </row>
    <row r="888">
      <c r="C888" s="1"/>
      <c r="F888" s="1"/>
      <c r="G888" s="1"/>
      <c r="H888" s="1"/>
    </row>
    <row r="889">
      <c r="C889" s="1"/>
      <c r="F889" s="1"/>
      <c r="G889" s="1"/>
      <c r="H889" s="1"/>
    </row>
    <row r="890">
      <c r="C890" s="1"/>
      <c r="F890" s="1"/>
      <c r="G890" s="1"/>
      <c r="H890" s="1"/>
    </row>
    <row r="891">
      <c r="C891" s="1"/>
      <c r="F891" s="1"/>
      <c r="G891" s="1"/>
      <c r="H891" s="1"/>
    </row>
    <row r="892">
      <c r="C892" s="1"/>
      <c r="F892" s="1"/>
      <c r="G892" s="1"/>
      <c r="H892" s="1"/>
    </row>
    <row r="893">
      <c r="C893" s="1"/>
      <c r="F893" s="1"/>
      <c r="G893" s="1"/>
      <c r="H893" s="1"/>
    </row>
    <row r="894">
      <c r="C894" s="1"/>
      <c r="F894" s="1"/>
      <c r="G894" s="1"/>
      <c r="H894" s="1"/>
    </row>
    <row r="895">
      <c r="C895" s="1"/>
      <c r="F895" s="1"/>
      <c r="G895" s="1"/>
      <c r="H895" s="1"/>
    </row>
    <row r="896">
      <c r="C896" s="1"/>
      <c r="F896" s="1"/>
      <c r="G896" s="1"/>
      <c r="H896" s="1"/>
    </row>
    <row r="897">
      <c r="C897" s="1"/>
      <c r="F897" s="1"/>
      <c r="G897" s="1"/>
      <c r="H897" s="1"/>
    </row>
    <row r="898">
      <c r="C898" s="1"/>
      <c r="F898" s="1"/>
      <c r="G898" s="1"/>
      <c r="H898" s="1"/>
    </row>
    <row r="899">
      <c r="C899" s="1"/>
      <c r="F899" s="1"/>
      <c r="G899" s="1"/>
      <c r="H899" s="1"/>
    </row>
    <row r="900">
      <c r="C900" s="1"/>
      <c r="F900" s="1"/>
      <c r="G900" s="1"/>
      <c r="H900" s="1"/>
    </row>
    <row r="901">
      <c r="C901" s="1"/>
      <c r="F901" s="1"/>
      <c r="G901" s="1"/>
      <c r="H901" s="1"/>
    </row>
    <row r="902">
      <c r="C902" s="1"/>
      <c r="F902" s="1"/>
      <c r="G902" s="1"/>
      <c r="H902" s="1"/>
    </row>
    <row r="903">
      <c r="C903" s="1"/>
      <c r="F903" s="1"/>
      <c r="G903" s="1"/>
      <c r="H903" s="1"/>
    </row>
    <row r="904">
      <c r="C904" s="1"/>
      <c r="F904" s="1"/>
      <c r="G904" s="1"/>
      <c r="H904" s="1"/>
    </row>
    <row r="905">
      <c r="C905" s="1"/>
      <c r="F905" s="1"/>
      <c r="G905" s="1"/>
      <c r="H905" s="1"/>
    </row>
    <row r="906">
      <c r="C906" s="1"/>
      <c r="F906" s="1"/>
      <c r="G906" s="1"/>
      <c r="H906" s="1"/>
    </row>
    <row r="907">
      <c r="C907" s="1"/>
      <c r="F907" s="1"/>
      <c r="G907" s="1"/>
      <c r="H907" s="1"/>
    </row>
    <row r="908">
      <c r="C908" s="1"/>
      <c r="F908" s="1"/>
      <c r="G908" s="1"/>
      <c r="H908" s="1"/>
    </row>
    <row r="909">
      <c r="C909" s="1"/>
      <c r="F909" s="1"/>
      <c r="G909" s="1"/>
      <c r="H909" s="1"/>
    </row>
    <row r="910">
      <c r="C910" s="1"/>
      <c r="F910" s="1"/>
      <c r="G910" s="1"/>
      <c r="H910" s="1"/>
    </row>
    <row r="911">
      <c r="C911" s="1"/>
      <c r="F911" s="1"/>
      <c r="G911" s="1"/>
      <c r="H911" s="1"/>
    </row>
    <row r="912">
      <c r="C912" s="1"/>
      <c r="F912" s="1"/>
      <c r="G912" s="1"/>
      <c r="H912" s="1"/>
    </row>
    <row r="913">
      <c r="C913" s="1"/>
      <c r="F913" s="1"/>
      <c r="G913" s="1"/>
      <c r="H913" s="1"/>
    </row>
    <row r="914">
      <c r="C914" s="1"/>
      <c r="F914" s="1"/>
      <c r="G914" s="1"/>
      <c r="H914" s="1"/>
    </row>
    <row r="915">
      <c r="C915" s="1"/>
      <c r="F915" s="1"/>
      <c r="G915" s="1"/>
      <c r="H915" s="1"/>
    </row>
    <row r="916">
      <c r="C916" s="1"/>
      <c r="F916" s="1"/>
      <c r="G916" s="1"/>
      <c r="H916" s="1"/>
    </row>
    <row r="917">
      <c r="C917" s="1"/>
      <c r="F917" s="1"/>
      <c r="G917" s="1"/>
      <c r="H917" s="1"/>
    </row>
    <row r="918">
      <c r="C918" s="1"/>
      <c r="F918" s="1"/>
      <c r="G918" s="1"/>
      <c r="H918" s="1"/>
    </row>
    <row r="919">
      <c r="C919" s="1"/>
      <c r="F919" s="1"/>
      <c r="G919" s="1"/>
      <c r="H919" s="1"/>
    </row>
    <row r="920">
      <c r="C920" s="1"/>
      <c r="F920" s="1"/>
      <c r="G920" s="1"/>
      <c r="H920" s="1"/>
    </row>
    <row r="921">
      <c r="C921" s="1"/>
      <c r="F921" s="1"/>
      <c r="G921" s="1"/>
      <c r="H921" s="1"/>
    </row>
    <row r="922">
      <c r="C922" s="1"/>
      <c r="F922" s="1"/>
      <c r="G922" s="1"/>
      <c r="H922" s="1"/>
    </row>
    <row r="923">
      <c r="C923" s="1"/>
      <c r="F923" s="1"/>
      <c r="G923" s="1"/>
      <c r="H923" s="1"/>
    </row>
    <row r="924">
      <c r="C924" s="1"/>
      <c r="F924" s="1"/>
      <c r="G924" s="1"/>
      <c r="H924" s="1"/>
    </row>
    <row r="925">
      <c r="C925" s="1"/>
      <c r="F925" s="1"/>
      <c r="G925" s="1"/>
      <c r="H925" s="1"/>
    </row>
    <row r="926">
      <c r="C926" s="1"/>
      <c r="F926" s="1"/>
      <c r="G926" s="1"/>
      <c r="H926" s="1"/>
    </row>
    <row r="927">
      <c r="C927" s="1"/>
      <c r="F927" s="1"/>
      <c r="G927" s="1"/>
      <c r="H927" s="1"/>
    </row>
    <row r="928">
      <c r="C928" s="1"/>
      <c r="F928" s="1"/>
      <c r="G928" s="1"/>
      <c r="H928" s="1"/>
    </row>
    <row r="929">
      <c r="C929" s="1"/>
      <c r="F929" s="1"/>
      <c r="G929" s="1"/>
      <c r="H929" s="1"/>
    </row>
    <row r="930">
      <c r="C930" s="1"/>
      <c r="F930" s="1"/>
      <c r="G930" s="1"/>
      <c r="H930" s="1"/>
    </row>
    <row r="931">
      <c r="C931" s="1"/>
      <c r="F931" s="1"/>
      <c r="G931" s="1"/>
      <c r="H931" s="1"/>
    </row>
    <row r="932">
      <c r="C932" s="1"/>
      <c r="F932" s="1"/>
      <c r="G932" s="1"/>
      <c r="H932" s="1"/>
    </row>
    <row r="933">
      <c r="C933" s="1"/>
      <c r="F933" s="1"/>
      <c r="G933" s="1"/>
      <c r="H933" s="1"/>
    </row>
    <row r="934">
      <c r="C934" s="1"/>
      <c r="F934" s="1"/>
      <c r="G934" s="1"/>
      <c r="H934" s="1"/>
    </row>
    <row r="935">
      <c r="C935" s="1"/>
      <c r="F935" s="1"/>
      <c r="G935" s="1"/>
      <c r="H935" s="1"/>
    </row>
    <row r="936">
      <c r="C936" s="1"/>
      <c r="F936" s="1"/>
      <c r="G936" s="1"/>
      <c r="H936" s="1"/>
    </row>
    <row r="937">
      <c r="C937" s="1"/>
      <c r="F937" s="1"/>
      <c r="G937" s="1"/>
      <c r="H937" s="1"/>
    </row>
    <row r="938">
      <c r="C938" s="1"/>
      <c r="F938" s="1"/>
      <c r="G938" s="1"/>
      <c r="H938" s="1"/>
    </row>
    <row r="939">
      <c r="C939" s="1"/>
      <c r="F939" s="1"/>
      <c r="G939" s="1"/>
      <c r="H939" s="1"/>
    </row>
    <row r="940">
      <c r="C940" s="1"/>
      <c r="F940" s="1"/>
      <c r="G940" s="1"/>
      <c r="H940" s="1"/>
    </row>
    <row r="941">
      <c r="C941" s="1"/>
      <c r="F941" s="1"/>
      <c r="G941" s="1"/>
      <c r="H941" s="1"/>
    </row>
    <row r="942">
      <c r="C942" s="1"/>
      <c r="F942" s="1"/>
      <c r="G942" s="1"/>
      <c r="H942" s="1"/>
    </row>
    <row r="943">
      <c r="C943" s="1"/>
      <c r="F943" s="1"/>
      <c r="G943" s="1"/>
      <c r="H943" s="1"/>
    </row>
    <row r="944">
      <c r="C944" s="1"/>
      <c r="F944" s="1"/>
      <c r="G944" s="1"/>
      <c r="H944" s="1"/>
    </row>
    <row r="945">
      <c r="C945" s="1"/>
      <c r="F945" s="1"/>
      <c r="G945" s="1"/>
      <c r="H945" s="1"/>
    </row>
    <row r="946">
      <c r="C946" s="1"/>
      <c r="F946" s="1"/>
      <c r="G946" s="1"/>
      <c r="H946" s="1"/>
    </row>
    <row r="947">
      <c r="C947" s="1"/>
      <c r="F947" s="1"/>
      <c r="G947" s="1"/>
      <c r="H947" s="1"/>
    </row>
    <row r="948">
      <c r="C948" s="1"/>
      <c r="F948" s="1"/>
      <c r="G948" s="1"/>
      <c r="H948" s="1"/>
    </row>
    <row r="949">
      <c r="C949" s="1"/>
      <c r="F949" s="1"/>
      <c r="G949" s="1"/>
      <c r="H949" s="1"/>
    </row>
    <row r="950">
      <c r="C950" s="1"/>
      <c r="F950" s="1"/>
      <c r="G950" s="1"/>
      <c r="H950" s="1"/>
    </row>
    <row r="951">
      <c r="C951" s="1"/>
      <c r="F951" s="1"/>
      <c r="G951" s="1"/>
      <c r="H951" s="1"/>
    </row>
    <row r="952">
      <c r="C952" s="1"/>
      <c r="F952" s="1"/>
      <c r="G952" s="1"/>
      <c r="H952" s="1"/>
    </row>
    <row r="953">
      <c r="C953" s="1"/>
      <c r="F953" s="1"/>
      <c r="G953" s="1"/>
      <c r="H953" s="1"/>
    </row>
    <row r="954">
      <c r="C954" s="1"/>
      <c r="F954" s="1"/>
      <c r="G954" s="1"/>
      <c r="H954" s="1"/>
    </row>
    <row r="955">
      <c r="C955" s="1"/>
      <c r="F955" s="1"/>
      <c r="G955" s="1"/>
      <c r="H955" s="1"/>
    </row>
    <row r="956">
      <c r="C956" s="1"/>
      <c r="F956" s="1"/>
      <c r="G956" s="1"/>
      <c r="H956" s="1"/>
    </row>
    <row r="957">
      <c r="C957" s="1"/>
      <c r="F957" s="1"/>
      <c r="G957" s="1"/>
      <c r="H957" s="1"/>
    </row>
    <row r="958">
      <c r="C958" s="1"/>
      <c r="F958" s="1"/>
      <c r="G958" s="1"/>
      <c r="H958" s="1"/>
    </row>
    <row r="959">
      <c r="C959" s="1"/>
      <c r="F959" s="1"/>
      <c r="G959" s="1"/>
      <c r="H959" s="1"/>
    </row>
    <row r="960">
      <c r="C960" s="1"/>
      <c r="F960" s="1"/>
      <c r="G960" s="1"/>
      <c r="H960" s="1"/>
    </row>
    <row r="961">
      <c r="C961" s="1"/>
      <c r="F961" s="1"/>
      <c r="G961" s="1"/>
      <c r="H961" s="1"/>
    </row>
    <row r="962">
      <c r="C962" s="1"/>
      <c r="F962" s="1"/>
      <c r="G962" s="1"/>
      <c r="H962" s="1"/>
    </row>
    <row r="963">
      <c r="C963" s="1"/>
      <c r="F963" s="1"/>
      <c r="G963" s="1"/>
      <c r="H963" s="1"/>
    </row>
    <row r="964">
      <c r="C964" s="1"/>
      <c r="F964" s="1"/>
      <c r="G964" s="1"/>
      <c r="H964" s="1"/>
    </row>
    <row r="965">
      <c r="C965" s="1"/>
      <c r="F965" s="1"/>
      <c r="G965" s="1"/>
      <c r="H965" s="1"/>
    </row>
    <row r="966">
      <c r="C966" s="1"/>
      <c r="F966" s="1"/>
      <c r="G966" s="1"/>
      <c r="H966" s="1"/>
    </row>
    <row r="967">
      <c r="C967" s="1"/>
      <c r="F967" s="1"/>
      <c r="G967" s="1"/>
      <c r="H967" s="1"/>
    </row>
    <row r="968">
      <c r="C968" s="1"/>
      <c r="F968" s="1"/>
      <c r="G968" s="1"/>
      <c r="H968" s="1"/>
    </row>
    <row r="969">
      <c r="C969" s="1"/>
      <c r="F969" s="1"/>
      <c r="G969" s="1"/>
      <c r="H969" s="1"/>
    </row>
    <row r="970">
      <c r="C970" s="1"/>
      <c r="F970" s="1"/>
      <c r="G970" s="1"/>
      <c r="H970" s="1"/>
    </row>
    <row r="971">
      <c r="C971" s="1"/>
      <c r="F971" s="1"/>
      <c r="G971" s="1"/>
      <c r="H971" s="1"/>
    </row>
    <row r="972">
      <c r="C972" s="1"/>
      <c r="F972" s="1"/>
      <c r="G972" s="1"/>
      <c r="H972" s="1"/>
    </row>
    <row r="973">
      <c r="C973" s="1"/>
      <c r="F973" s="1"/>
      <c r="G973" s="1"/>
      <c r="H973" s="1"/>
    </row>
    <row r="974">
      <c r="C974" s="1"/>
      <c r="F974" s="1"/>
      <c r="G974" s="1"/>
      <c r="H974" s="1"/>
    </row>
    <row r="975">
      <c r="C975" s="1"/>
      <c r="F975" s="1"/>
      <c r="G975" s="1"/>
      <c r="H975" s="1"/>
    </row>
    <row r="976">
      <c r="C976" s="1"/>
      <c r="F976" s="1"/>
      <c r="G976" s="1"/>
      <c r="H976" s="1"/>
    </row>
    <row r="977">
      <c r="C977" s="1"/>
      <c r="F977" s="1"/>
      <c r="G977" s="1"/>
      <c r="H977" s="1"/>
    </row>
    <row r="978">
      <c r="C978" s="1"/>
      <c r="F978" s="1"/>
      <c r="G978" s="1"/>
      <c r="H978" s="1"/>
    </row>
    <row r="979">
      <c r="C979" s="1"/>
      <c r="F979" s="1"/>
      <c r="G979" s="1"/>
      <c r="H979" s="1"/>
    </row>
    <row r="980">
      <c r="C980" s="1"/>
      <c r="F980" s="1"/>
      <c r="G980" s="1"/>
      <c r="H980" s="1"/>
    </row>
    <row r="981">
      <c r="C981" s="1"/>
      <c r="F981" s="1"/>
      <c r="G981" s="1"/>
      <c r="H981" s="1"/>
    </row>
    <row r="982">
      <c r="C982" s="1"/>
      <c r="F982" s="1"/>
      <c r="G982" s="1"/>
      <c r="H982" s="1"/>
    </row>
    <row r="983">
      <c r="C983" s="1"/>
      <c r="F983" s="1"/>
      <c r="G983" s="1"/>
      <c r="H983" s="1"/>
    </row>
    <row r="984">
      <c r="C984" s="1"/>
      <c r="F984" s="1"/>
      <c r="G984" s="1"/>
      <c r="H984" s="1"/>
    </row>
    <row r="985">
      <c r="C985" s="1"/>
      <c r="F985" s="1"/>
      <c r="G985" s="1"/>
      <c r="H985" s="1"/>
    </row>
    <row r="986">
      <c r="C986" s="1"/>
      <c r="F986" s="1"/>
      <c r="G986" s="1"/>
      <c r="H986" s="1"/>
    </row>
    <row r="987">
      <c r="C987" s="1"/>
      <c r="F987" s="1"/>
      <c r="G987" s="1"/>
      <c r="H987" s="1"/>
    </row>
    <row r="988">
      <c r="C988" s="1"/>
      <c r="F988" s="1"/>
      <c r="G988" s="1"/>
      <c r="H988" s="1"/>
    </row>
    <row r="989">
      <c r="C989" s="1"/>
      <c r="F989" s="1"/>
      <c r="G989" s="1"/>
      <c r="H989" s="1"/>
    </row>
    <row r="990">
      <c r="C990" s="1"/>
      <c r="F990" s="1"/>
      <c r="G990" s="1"/>
      <c r="H990" s="1"/>
    </row>
    <row r="991">
      <c r="C991" s="1"/>
      <c r="F991" s="1"/>
      <c r="G991" s="1"/>
      <c r="H991" s="1"/>
    </row>
    <row r="992">
      <c r="C992" s="1"/>
      <c r="F992" s="1"/>
      <c r="G992" s="1"/>
      <c r="H992" s="1"/>
    </row>
    <row r="993">
      <c r="C993" s="1"/>
      <c r="F993" s="1"/>
      <c r="G993" s="1"/>
      <c r="H993" s="1"/>
    </row>
    <row r="994">
      <c r="C994" s="1"/>
      <c r="F994" s="1"/>
      <c r="G994" s="1"/>
      <c r="H994" s="1"/>
    </row>
    <row r="995">
      <c r="C995" s="1"/>
      <c r="F995" s="1"/>
      <c r="G995" s="1"/>
      <c r="H995" s="1"/>
    </row>
    <row r="996">
      <c r="C996" s="1"/>
      <c r="F996" s="1"/>
      <c r="G996" s="1"/>
      <c r="H996" s="1"/>
    </row>
    <row r="997">
      <c r="C997" s="1"/>
      <c r="F997" s="1"/>
      <c r="G997" s="1"/>
      <c r="H997" s="1"/>
    </row>
    <row r="998">
      <c r="C998" s="1"/>
      <c r="F998" s="1"/>
      <c r="G998" s="1"/>
      <c r="H998" s="1"/>
    </row>
    <row r="999">
      <c r="C999" s="1"/>
      <c r="F999" s="1"/>
      <c r="G999" s="1"/>
      <c r="H999" s="1"/>
    </row>
    <row r="1000">
      <c r="C1000" s="1"/>
      <c r="F1000" s="1"/>
      <c r="G1000" s="1"/>
      <c r="H1000" s="1"/>
    </row>
    <row r="1001">
      <c r="C1001" s="1"/>
      <c r="F1001" s="1"/>
      <c r="G1001" s="1"/>
      <c r="H1001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3.63"/>
    <col customWidth="1" min="3" max="3" width="14.63"/>
    <col customWidth="1" min="4" max="4" width="18.25"/>
    <col customWidth="1" min="5" max="5" width="18.13"/>
    <col customWidth="1" min="6" max="6" width="17.13"/>
    <col customWidth="1" min="7" max="7" width="19.63"/>
  </cols>
  <sheetData>
    <row r="2">
      <c r="A2" s="90" t="s">
        <v>0</v>
      </c>
      <c r="D2" s="90" t="s">
        <v>1</v>
      </c>
      <c r="G2" s="90" t="s">
        <v>2</v>
      </c>
    </row>
    <row r="3">
      <c r="A3" s="90" t="s">
        <v>198</v>
      </c>
      <c r="B3" s="87" t="str">
        <f>IF(IFERROR(SEARCH("благополучателе", A3) &gt; 0, FALSE), "Фокуснаблагополучателе", IF(IFERROR(SEARCH("секторе", A3) &gt; 0, FALSE), "Фокуснасекторе", IF(IFERROR(SEARCH("благах", A3) &gt; 0, FALSE), "Фокуснаблагах","")))</f>
        <v>Фокуснаблагах</v>
      </c>
      <c r="C3" s="1" t="str">
        <f t="array" ref="C3:C1003">INDIRECT(B3)</f>
        <v/>
      </c>
      <c r="D3" s="90" t="s">
        <v>186</v>
      </c>
      <c r="E3" s="87" t="str">
        <f>IF(IFERROR(SEARCH("публика", D3) &gt; 0, FALSE), "ФБСообщество", IF(IFERROR(SEARCH("люди", D3) &gt; 0, FALSE), "ФБЛюди", IF(IFERROR(SEARCH("семьи", D3) &gt; 0, FALSE), "ФБСемьи", IF(IFERROR(SEARCH("правительство", D3) &gt; 0, FALSE), "ФББизнес", IF(IFERROR(SEARCH("команда", D3) &gt; 0, FALSE), "ФБКоманда", IF(IFERROR(SEARCH("экономика", D3) &gt; 0, FALSE), "ФСЭкономика", IF(IFERROR(SEARCH("образование", D3) &gt; 0, FALSE), "ФСОбразование",IF(IFERROR(SEARCH("здоровье", D3) &gt; 0, FALSE), "ФСЗдоровье",IF(IFERROR(SEARCH("экология", D3) &gt; 0, FALSE), "ФСЭкология", IF(IFERROR(SEARCH("сфера", D3) &gt; 0, FALSE), "ФССоциальнаясфера", IF(IFERROR(SEARCH("развитие", D3) &gt; 0, FALSE), "ФСМестноеразвитие", IF(IFERROR(SEARCH("среда", D3) &gt; 0, FALSE), "ФСГородскаясреда",IF(IFERROR(SEARCH("культура", D3) &gt; 0, FALSE), "ФСКультура", IF(IFERROR(SEARCH("блага", D3) &gt; 0, FALSE), "ФБлага",""))))))))))))))</f>
        <v>ФБлага</v>
      </c>
      <c r="F3" s="1" t="str">
        <f t="array" ref="F3:F1003">INDIRECT(E3)</f>
        <v/>
      </c>
      <c r="G3" s="87"/>
    </row>
    <row r="4">
      <c r="C4" s="87" t="s">
        <v>186</v>
      </c>
      <c r="F4" s="87" t="s">
        <v>30</v>
      </c>
    </row>
    <row r="5">
      <c r="C5" s="87" t="s">
        <v>187</v>
      </c>
      <c r="F5" s="87" t="s">
        <v>61</v>
      </c>
    </row>
    <row r="6">
      <c r="C6" s="87" t="s">
        <v>188</v>
      </c>
      <c r="F6" s="87"/>
    </row>
    <row r="7">
      <c r="C7" s="87"/>
      <c r="F7" s="87"/>
    </row>
    <row r="8">
      <c r="C8" s="87"/>
      <c r="F8" s="87"/>
    </row>
    <row r="9">
      <c r="C9" s="87"/>
      <c r="F9" s="87"/>
    </row>
    <row r="10">
      <c r="C10" s="87"/>
      <c r="F10" s="87"/>
    </row>
    <row r="11">
      <c r="C11" s="87"/>
      <c r="F11" s="87"/>
    </row>
    <row r="12">
      <c r="C12" s="87"/>
      <c r="F12" s="87"/>
    </row>
    <row r="13">
      <c r="C13" s="87"/>
      <c r="F13" s="87"/>
    </row>
    <row r="14">
      <c r="C14" s="87"/>
      <c r="F14" s="87"/>
    </row>
    <row r="15">
      <c r="C15" s="87"/>
      <c r="F15" s="87"/>
    </row>
    <row r="16">
      <c r="C16" s="87"/>
      <c r="F16" s="87"/>
    </row>
    <row r="17">
      <c r="C17" s="87"/>
      <c r="F17" s="87"/>
    </row>
    <row r="18">
      <c r="C18" s="87"/>
      <c r="F18" s="87"/>
    </row>
    <row r="19">
      <c r="C19" s="87"/>
      <c r="F19" s="87"/>
    </row>
    <row r="20">
      <c r="C20" s="87"/>
      <c r="F20" s="87"/>
    </row>
    <row r="21">
      <c r="C21" s="87"/>
      <c r="F21" s="87"/>
    </row>
    <row r="22">
      <c r="C22" s="87"/>
      <c r="F22" s="87"/>
    </row>
    <row r="23">
      <c r="C23" s="87"/>
      <c r="F23" s="87"/>
    </row>
    <row r="24">
      <c r="C24" s="87"/>
      <c r="F24" s="87"/>
    </row>
    <row r="25">
      <c r="C25" s="87"/>
      <c r="F25" s="87"/>
    </row>
    <row r="26">
      <c r="C26" s="87"/>
      <c r="F26" s="87"/>
    </row>
    <row r="27">
      <c r="C27" s="87"/>
      <c r="F27" s="87"/>
    </row>
    <row r="28">
      <c r="C28" s="87"/>
      <c r="F28" s="87"/>
    </row>
    <row r="29">
      <c r="C29" s="87"/>
      <c r="F29" s="87"/>
    </row>
    <row r="30">
      <c r="C30" s="87"/>
      <c r="F30" s="87"/>
    </row>
    <row r="31">
      <c r="C31" s="87"/>
      <c r="F31" s="87"/>
    </row>
    <row r="32">
      <c r="C32" s="87"/>
      <c r="F32" s="87"/>
    </row>
    <row r="33">
      <c r="C33" s="87"/>
      <c r="F33" s="87"/>
    </row>
    <row r="34">
      <c r="C34" s="87"/>
      <c r="F34" s="87"/>
    </row>
    <row r="35">
      <c r="C35" s="87"/>
      <c r="F35" s="87"/>
    </row>
    <row r="36">
      <c r="C36" s="87"/>
      <c r="F36" s="87"/>
    </row>
    <row r="37">
      <c r="C37" s="87"/>
      <c r="F37" s="87"/>
    </row>
    <row r="38">
      <c r="C38" s="87"/>
      <c r="F38" s="87"/>
    </row>
    <row r="39">
      <c r="C39" s="87"/>
      <c r="F39" s="87"/>
    </row>
    <row r="40">
      <c r="C40" s="87"/>
      <c r="F40" s="87"/>
    </row>
    <row r="41">
      <c r="C41" s="87"/>
      <c r="F41" s="87"/>
    </row>
    <row r="42">
      <c r="C42" s="87"/>
      <c r="F42" s="87"/>
    </row>
    <row r="43">
      <c r="C43" s="87"/>
      <c r="F43" s="87"/>
    </row>
    <row r="44">
      <c r="C44" s="87"/>
      <c r="F44" s="87"/>
    </row>
    <row r="45">
      <c r="C45" s="87"/>
      <c r="F45" s="87"/>
    </row>
    <row r="46">
      <c r="C46" s="87"/>
      <c r="F46" s="87"/>
    </row>
    <row r="47">
      <c r="C47" s="87"/>
      <c r="F47" s="87"/>
    </row>
    <row r="48">
      <c r="C48" s="87"/>
      <c r="F48" s="87"/>
    </row>
    <row r="49">
      <c r="C49" s="87"/>
      <c r="F49" s="87"/>
    </row>
    <row r="50">
      <c r="C50" s="87"/>
      <c r="F50" s="87"/>
    </row>
    <row r="51">
      <c r="C51" s="87"/>
      <c r="F51" s="87"/>
    </row>
    <row r="52">
      <c r="C52" s="87"/>
      <c r="F52" s="87"/>
    </row>
    <row r="53">
      <c r="C53" s="87"/>
      <c r="F53" s="87"/>
    </row>
    <row r="54">
      <c r="C54" s="87"/>
      <c r="F54" s="87"/>
    </row>
    <row r="55">
      <c r="C55" s="87"/>
      <c r="F55" s="87"/>
    </row>
    <row r="56">
      <c r="C56" s="87"/>
      <c r="F56" s="87"/>
    </row>
    <row r="57">
      <c r="C57" s="87"/>
      <c r="F57" s="87"/>
    </row>
    <row r="58">
      <c r="C58" s="87"/>
      <c r="F58" s="87"/>
    </row>
    <row r="59">
      <c r="C59" s="87"/>
      <c r="F59" s="87"/>
    </row>
    <row r="60">
      <c r="C60" s="87"/>
      <c r="F60" s="87"/>
    </row>
    <row r="61">
      <c r="C61" s="87"/>
      <c r="F61" s="87"/>
    </row>
    <row r="62">
      <c r="C62" s="87"/>
      <c r="F62" s="87"/>
    </row>
    <row r="63">
      <c r="C63" s="87"/>
      <c r="F63" s="87"/>
    </row>
    <row r="64">
      <c r="C64" s="87"/>
      <c r="F64" s="87"/>
    </row>
    <row r="65">
      <c r="C65" s="87"/>
      <c r="F65" s="87"/>
    </row>
    <row r="66">
      <c r="C66" s="87"/>
      <c r="F66" s="87"/>
    </row>
    <row r="67">
      <c r="C67" s="87"/>
      <c r="F67" s="87"/>
    </row>
    <row r="68">
      <c r="C68" s="87"/>
      <c r="F68" s="87"/>
    </row>
    <row r="69">
      <c r="C69" s="87"/>
      <c r="F69" s="87"/>
    </row>
    <row r="70">
      <c r="C70" s="87"/>
      <c r="F70" s="87"/>
    </row>
    <row r="71">
      <c r="C71" s="87"/>
      <c r="F71" s="87"/>
    </row>
    <row r="72">
      <c r="C72" s="87"/>
      <c r="F72" s="87"/>
    </row>
    <row r="73">
      <c r="C73" s="87"/>
      <c r="F73" s="87"/>
    </row>
    <row r="74">
      <c r="C74" s="87"/>
      <c r="F74" s="87"/>
    </row>
    <row r="75">
      <c r="C75" s="87"/>
      <c r="F75" s="87"/>
    </row>
    <row r="76">
      <c r="C76" s="87"/>
      <c r="F76" s="87"/>
    </row>
    <row r="77">
      <c r="C77" s="87"/>
      <c r="F77" s="87"/>
    </row>
    <row r="78">
      <c r="C78" s="87"/>
      <c r="F78" s="87"/>
    </row>
    <row r="79">
      <c r="C79" s="87"/>
      <c r="F79" s="87"/>
    </row>
    <row r="80">
      <c r="C80" s="87"/>
      <c r="F80" s="87"/>
    </row>
    <row r="81">
      <c r="C81" s="87"/>
      <c r="F81" s="87"/>
    </row>
    <row r="82">
      <c r="C82" s="87"/>
      <c r="F82" s="87"/>
    </row>
    <row r="83">
      <c r="C83" s="87"/>
      <c r="F83" s="87"/>
    </row>
    <row r="84">
      <c r="C84" s="87"/>
      <c r="F84" s="87"/>
    </row>
    <row r="85">
      <c r="C85" s="87"/>
      <c r="F85" s="87"/>
    </row>
    <row r="86">
      <c r="C86" s="87"/>
      <c r="F86" s="87"/>
    </row>
    <row r="87">
      <c r="C87" s="87"/>
      <c r="F87" s="87"/>
    </row>
    <row r="88">
      <c r="C88" s="87"/>
      <c r="F88" s="87"/>
    </row>
    <row r="89">
      <c r="C89" s="87"/>
      <c r="F89" s="87"/>
    </row>
    <row r="90">
      <c r="C90" s="87"/>
      <c r="F90" s="87"/>
    </row>
    <row r="91">
      <c r="C91" s="87"/>
      <c r="F91" s="87"/>
    </row>
    <row r="92">
      <c r="C92" s="87"/>
      <c r="F92" s="87"/>
    </row>
    <row r="93">
      <c r="C93" s="87"/>
      <c r="F93" s="87"/>
    </row>
    <row r="94">
      <c r="C94" s="87"/>
      <c r="F94" s="87"/>
    </row>
    <row r="95">
      <c r="C95" s="87"/>
      <c r="F95" s="87"/>
    </row>
    <row r="96">
      <c r="C96" s="87"/>
      <c r="F96" s="87"/>
    </row>
    <row r="97">
      <c r="C97" s="87"/>
      <c r="F97" s="87"/>
    </row>
    <row r="98">
      <c r="C98" s="87"/>
      <c r="F98" s="87"/>
    </row>
    <row r="99">
      <c r="C99" s="87"/>
      <c r="F99" s="87"/>
    </row>
    <row r="100">
      <c r="C100" s="87"/>
      <c r="F100" s="87"/>
    </row>
    <row r="101">
      <c r="C101" s="87"/>
      <c r="F101" s="87"/>
    </row>
    <row r="102">
      <c r="C102" s="87"/>
      <c r="F102" s="87"/>
    </row>
    <row r="103">
      <c r="C103" s="87"/>
      <c r="F103" s="87"/>
    </row>
    <row r="104">
      <c r="C104" s="87"/>
      <c r="F104" s="87"/>
    </row>
    <row r="105">
      <c r="C105" s="87"/>
      <c r="F105" s="87"/>
    </row>
    <row r="106">
      <c r="C106" s="87"/>
      <c r="F106" s="87"/>
    </row>
    <row r="107">
      <c r="C107" s="87"/>
      <c r="F107" s="87"/>
    </row>
    <row r="108">
      <c r="C108" s="87"/>
      <c r="F108" s="87"/>
    </row>
    <row r="109">
      <c r="C109" s="87"/>
      <c r="F109" s="87"/>
    </row>
    <row r="110">
      <c r="C110" s="87"/>
      <c r="F110" s="87"/>
    </row>
    <row r="111">
      <c r="C111" s="87"/>
      <c r="F111" s="87"/>
    </row>
    <row r="112">
      <c r="C112" s="87"/>
      <c r="F112" s="87"/>
    </row>
    <row r="113">
      <c r="C113" s="87"/>
      <c r="F113" s="87"/>
    </row>
    <row r="114">
      <c r="C114" s="87"/>
      <c r="F114" s="87"/>
    </row>
    <row r="115">
      <c r="C115" s="87"/>
      <c r="F115" s="87"/>
    </row>
    <row r="116">
      <c r="C116" s="87"/>
      <c r="F116" s="87"/>
    </row>
    <row r="117">
      <c r="C117" s="87"/>
      <c r="F117" s="87"/>
    </row>
    <row r="118">
      <c r="C118" s="87"/>
      <c r="F118" s="87"/>
    </row>
    <row r="119">
      <c r="C119" s="87"/>
      <c r="F119" s="87"/>
    </row>
    <row r="120">
      <c r="C120" s="87"/>
      <c r="F120" s="87"/>
    </row>
    <row r="121">
      <c r="C121" s="87"/>
      <c r="F121" s="87"/>
    </row>
    <row r="122">
      <c r="C122" s="87"/>
      <c r="F122" s="87"/>
    </row>
    <row r="123">
      <c r="C123" s="87"/>
      <c r="F123" s="87"/>
    </row>
    <row r="124">
      <c r="C124" s="87"/>
      <c r="F124" s="87"/>
    </row>
    <row r="125">
      <c r="C125" s="87"/>
      <c r="F125" s="87"/>
    </row>
    <row r="126">
      <c r="C126" s="87"/>
      <c r="F126" s="87"/>
    </row>
    <row r="127">
      <c r="C127" s="87"/>
      <c r="F127" s="87"/>
    </row>
    <row r="128">
      <c r="C128" s="87"/>
      <c r="F128" s="87"/>
    </row>
    <row r="129">
      <c r="C129" s="87"/>
      <c r="F129" s="87"/>
    </row>
    <row r="130">
      <c r="C130" s="87"/>
      <c r="F130" s="87"/>
    </row>
    <row r="131">
      <c r="C131" s="87"/>
      <c r="F131" s="87"/>
    </row>
    <row r="132">
      <c r="C132" s="87"/>
      <c r="F132" s="87"/>
    </row>
    <row r="133">
      <c r="C133" s="87"/>
      <c r="F133" s="87"/>
    </row>
    <row r="134">
      <c r="C134" s="87"/>
      <c r="F134" s="87"/>
    </row>
    <row r="135">
      <c r="C135" s="87"/>
      <c r="F135" s="87"/>
    </row>
    <row r="136">
      <c r="C136" s="87"/>
      <c r="F136" s="87"/>
    </row>
    <row r="137">
      <c r="C137" s="87"/>
      <c r="F137" s="87"/>
    </row>
    <row r="138">
      <c r="C138" s="87"/>
      <c r="F138" s="87"/>
    </row>
    <row r="139">
      <c r="C139" s="87"/>
      <c r="F139" s="87"/>
    </row>
    <row r="140">
      <c r="C140" s="87"/>
      <c r="F140" s="87"/>
    </row>
    <row r="141">
      <c r="C141" s="87"/>
      <c r="F141" s="87"/>
    </row>
    <row r="142">
      <c r="C142" s="87"/>
      <c r="F142" s="87"/>
    </row>
    <row r="143">
      <c r="C143" s="87"/>
      <c r="F143" s="87"/>
    </row>
    <row r="144">
      <c r="C144" s="87"/>
      <c r="F144" s="87"/>
    </row>
    <row r="145">
      <c r="C145" s="87"/>
      <c r="F145" s="87"/>
    </row>
    <row r="146">
      <c r="C146" s="87"/>
      <c r="F146" s="87"/>
    </row>
    <row r="147">
      <c r="C147" s="87"/>
      <c r="F147" s="87"/>
    </row>
    <row r="148">
      <c r="C148" s="87"/>
      <c r="F148" s="87"/>
    </row>
    <row r="149">
      <c r="C149" s="87"/>
      <c r="F149" s="87"/>
    </row>
    <row r="150">
      <c r="C150" s="87"/>
      <c r="F150" s="87"/>
    </row>
    <row r="151">
      <c r="C151" s="87"/>
      <c r="F151" s="87"/>
    </row>
    <row r="152">
      <c r="C152" s="87"/>
      <c r="F152" s="87"/>
    </row>
    <row r="153">
      <c r="C153" s="87"/>
      <c r="F153" s="87"/>
    </row>
    <row r="154">
      <c r="C154" s="87"/>
      <c r="F154" s="87"/>
    </row>
    <row r="155">
      <c r="C155" s="87"/>
      <c r="F155" s="87"/>
    </row>
    <row r="156">
      <c r="C156" s="87"/>
      <c r="F156" s="87"/>
    </row>
    <row r="157">
      <c r="C157" s="87"/>
      <c r="F157" s="87"/>
    </row>
    <row r="158">
      <c r="C158" s="87"/>
      <c r="F158" s="87"/>
    </row>
    <row r="159">
      <c r="C159" s="87"/>
      <c r="F159" s="87"/>
    </row>
    <row r="160">
      <c r="C160" s="87"/>
      <c r="F160" s="87"/>
    </row>
    <row r="161">
      <c r="C161" s="87"/>
      <c r="F161" s="87"/>
    </row>
    <row r="162">
      <c r="C162" s="87"/>
      <c r="F162" s="87"/>
    </row>
    <row r="163">
      <c r="C163" s="87"/>
      <c r="F163" s="87"/>
    </row>
    <row r="164">
      <c r="C164" s="87"/>
      <c r="F164" s="87"/>
    </row>
    <row r="165">
      <c r="C165" s="87"/>
      <c r="F165" s="87"/>
    </row>
    <row r="166">
      <c r="C166" s="87"/>
      <c r="F166" s="87"/>
    </row>
    <row r="167">
      <c r="C167" s="87"/>
      <c r="F167" s="87"/>
    </row>
    <row r="168">
      <c r="C168" s="87"/>
      <c r="F168" s="87"/>
    </row>
    <row r="169">
      <c r="C169" s="87"/>
      <c r="F169" s="87"/>
    </row>
    <row r="170">
      <c r="C170" s="87"/>
      <c r="F170" s="87"/>
    </row>
    <row r="171">
      <c r="C171" s="87"/>
      <c r="F171" s="87"/>
    </row>
    <row r="172">
      <c r="C172" s="87"/>
      <c r="F172" s="87"/>
    </row>
    <row r="173">
      <c r="C173" s="87"/>
      <c r="F173" s="87"/>
    </row>
    <row r="174">
      <c r="C174" s="87"/>
      <c r="F174" s="87"/>
    </row>
    <row r="175">
      <c r="C175" s="87"/>
      <c r="F175" s="87"/>
    </row>
    <row r="176">
      <c r="C176" s="87"/>
      <c r="F176" s="87"/>
    </row>
    <row r="177">
      <c r="C177" s="87"/>
      <c r="F177" s="87"/>
    </row>
    <row r="178">
      <c r="C178" s="87"/>
      <c r="F178" s="87"/>
    </row>
    <row r="179">
      <c r="C179" s="87"/>
      <c r="F179" s="87"/>
    </row>
    <row r="180">
      <c r="C180" s="87"/>
      <c r="F180" s="87"/>
    </row>
    <row r="181">
      <c r="C181" s="87"/>
      <c r="F181" s="87"/>
    </row>
    <row r="182">
      <c r="C182" s="87"/>
      <c r="F182" s="87"/>
    </row>
    <row r="183">
      <c r="C183" s="87"/>
      <c r="F183" s="87"/>
    </row>
    <row r="184">
      <c r="C184" s="87"/>
      <c r="F184" s="87"/>
    </row>
    <row r="185">
      <c r="C185" s="87"/>
      <c r="F185" s="87"/>
    </row>
    <row r="186">
      <c r="C186" s="87"/>
      <c r="F186" s="87"/>
    </row>
    <row r="187">
      <c r="C187" s="87"/>
      <c r="F187" s="87"/>
    </row>
    <row r="188">
      <c r="C188" s="87"/>
      <c r="F188" s="87"/>
    </row>
    <row r="189">
      <c r="C189" s="87"/>
      <c r="F189" s="87"/>
    </row>
    <row r="190">
      <c r="C190" s="87"/>
      <c r="F190" s="87"/>
    </row>
    <row r="191">
      <c r="C191" s="87"/>
      <c r="F191" s="87"/>
    </row>
    <row r="192">
      <c r="C192" s="87"/>
      <c r="F192" s="87"/>
    </row>
    <row r="193">
      <c r="C193" s="87"/>
      <c r="F193" s="87"/>
    </row>
    <row r="194">
      <c r="C194" s="87"/>
      <c r="F194" s="87"/>
    </row>
    <row r="195">
      <c r="C195" s="87"/>
      <c r="F195" s="87"/>
    </row>
    <row r="196">
      <c r="C196" s="87"/>
      <c r="F196" s="87"/>
    </row>
    <row r="197">
      <c r="C197" s="87"/>
      <c r="F197" s="87"/>
    </row>
    <row r="198">
      <c r="C198" s="87"/>
      <c r="F198" s="87"/>
    </row>
    <row r="199">
      <c r="C199" s="87"/>
      <c r="F199" s="87"/>
    </row>
    <row r="200">
      <c r="C200" s="87"/>
      <c r="F200" s="87"/>
    </row>
    <row r="201">
      <c r="C201" s="87"/>
      <c r="F201" s="87"/>
    </row>
    <row r="202">
      <c r="C202" s="87"/>
      <c r="F202" s="87"/>
    </row>
    <row r="203">
      <c r="C203" s="87"/>
      <c r="F203" s="87"/>
    </row>
    <row r="204">
      <c r="C204" s="87"/>
      <c r="F204" s="87"/>
    </row>
    <row r="205">
      <c r="C205" s="87"/>
      <c r="F205" s="87"/>
    </row>
    <row r="206">
      <c r="C206" s="87"/>
      <c r="F206" s="87"/>
    </row>
    <row r="207">
      <c r="C207" s="87"/>
      <c r="F207" s="87"/>
    </row>
    <row r="208">
      <c r="C208" s="87"/>
      <c r="F208" s="87"/>
    </row>
    <row r="209">
      <c r="C209" s="87"/>
      <c r="F209" s="87"/>
    </row>
    <row r="210">
      <c r="C210" s="87"/>
      <c r="F210" s="87"/>
    </row>
    <row r="211">
      <c r="C211" s="87"/>
      <c r="F211" s="87"/>
    </row>
    <row r="212">
      <c r="C212" s="87"/>
      <c r="F212" s="87"/>
    </row>
    <row r="213">
      <c r="C213" s="87"/>
      <c r="F213" s="87"/>
    </row>
    <row r="214">
      <c r="C214" s="87"/>
      <c r="F214" s="87"/>
    </row>
    <row r="215">
      <c r="C215" s="87"/>
      <c r="F215" s="87"/>
    </row>
    <row r="216">
      <c r="C216" s="87"/>
      <c r="F216" s="87"/>
    </row>
    <row r="217">
      <c r="C217" s="87"/>
      <c r="F217" s="87"/>
    </row>
    <row r="218">
      <c r="C218" s="87"/>
      <c r="F218" s="87"/>
    </row>
    <row r="219">
      <c r="C219" s="87"/>
      <c r="F219" s="87"/>
    </row>
    <row r="220">
      <c r="C220" s="87"/>
      <c r="F220" s="87"/>
    </row>
    <row r="221">
      <c r="C221" s="87"/>
      <c r="F221" s="87"/>
    </row>
    <row r="222">
      <c r="C222" s="87"/>
      <c r="F222" s="87"/>
    </row>
    <row r="223">
      <c r="C223" s="87"/>
      <c r="F223" s="87"/>
    </row>
    <row r="224">
      <c r="C224" s="87"/>
      <c r="F224" s="87"/>
    </row>
    <row r="225">
      <c r="C225" s="87"/>
      <c r="F225" s="87"/>
    </row>
    <row r="226">
      <c r="C226" s="87"/>
      <c r="F226" s="87"/>
    </row>
    <row r="227">
      <c r="C227" s="87"/>
      <c r="F227" s="87"/>
    </row>
    <row r="228">
      <c r="C228" s="87"/>
      <c r="F228" s="87"/>
    </row>
    <row r="229">
      <c r="C229" s="87"/>
      <c r="F229" s="87"/>
    </row>
    <row r="230">
      <c r="C230" s="87"/>
      <c r="F230" s="87"/>
    </row>
    <row r="231">
      <c r="C231" s="87"/>
      <c r="F231" s="87"/>
    </row>
    <row r="232">
      <c r="C232" s="87"/>
      <c r="F232" s="87"/>
    </row>
    <row r="233">
      <c r="C233" s="87"/>
      <c r="F233" s="87"/>
    </row>
    <row r="234">
      <c r="C234" s="87"/>
      <c r="F234" s="87"/>
    </row>
    <row r="235">
      <c r="C235" s="87"/>
      <c r="F235" s="87"/>
    </row>
    <row r="236">
      <c r="C236" s="87"/>
      <c r="F236" s="87"/>
    </row>
    <row r="237">
      <c r="C237" s="87"/>
      <c r="F237" s="87"/>
    </row>
    <row r="238">
      <c r="C238" s="87"/>
      <c r="F238" s="87"/>
    </row>
    <row r="239">
      <c r="C239" s="87"/>
      <c r="F239" s="87"/>
    </row>
    <row r="240">
      <c r="C240" s="87"/>
      <c r="F240" s="87"/>
    </row>
    <row r="241">
      <c r="C241" s="87"/>
      <c r="F241" s="87"/>
    </row>
    <row r="242">
      <c r="C242" s="87"/>
      <c r="F242" s="87"/>
    </row>
    <row r="243">
      <c r="C243" s="87"/>
      <c r="F243" s="87"/>
    </row>
    <row r="244">
      <c r="C244" s="87"/>
      <c r="F244" s="87"/>
    </row>
    <row r="245">
      <c r="C245" s="87"/>
      <c r="F245" s="87"/>
    </row>
    <row r="246">
      <c r="C246" s="87"/>
      <c r="F246" s="87"/>
    </row>
    <row r="247">
      <c r="C247" s="87"/>
      <c r="F247" s="87"/>
    </row>
    <row r="248">
      <c r="C248" s="87"/>
      <c r="F248" s="87"/>
    </row>
    <row r="249">
      <c r="C249" s="87"/>
      <c r="F249" s="87"/>
    </row>
    <row r="250">
      <c r="C250" s="87"/>
      <c r="F250" s="87"/>
    </row>
    <row r="251">
      <c r="C251" s="87"/>
      <c r="F251" s="87"/>
    </row>
    <row r="252">
      <c r="C252" s="87"/>
      <c r="F252" s="87"/>
    </row>
    <row r="253">
      <c r="C253" s="87"/>
      <c r="F253" s="87"/>
    </row>
    <row r="254">
      <c r="C254" s="87"/>
      <c r="F254" s="87"/>
    </row>
    <row r="255">
      <c r="C255" s="87"/>
      <c r="F255" s="87"/>
    </row>
    <row r="256">
      <c r="C256" s="87"/>
      <c r="F256" s="87"/>
    </row>
    <row r="257">
      <c r="C257" s="87"/>
      <c r="F257" s="87"/>
    </row>
    <row r="258">
      <c r="C258" s="87"/>
      <c r="F258" s="87"/>
    </row>
    <row r="259">
      <c r="C259" s="87"/>
      <c r="F259" s="87"/>
    </row>
    <row r="260">
      <c r="C260" s="87"/>
      <c r="F260" s="87"/>
    </row>
    <row r="261">
      <c r="C261" s="87"/>
      <c r="F261" s="87"/>
    </row>
    <row r="262">
      <c r="C262" s="87"/>
      <c r="F262" s="87"/>
    </row>
    <row r="263">
      <c r="C263" s="87"/>
      <c r="F263" s="87"/>
    </row>
    <row r="264">
      <c r="C264" s="87"/>
      <c r="F264" s="87"/>
    </row>
    <row r="265">
      <c r="C265" s="87"/>
      <c r="F265" s="87"/>
    </row>
    <row r="266">
      <c r="C266" s="87"/>
      <c r="F266" s="87"/>
    </row>
    <row r="267">
      <c r="C267" s="87"/>
      <c r="F267" s="87"/>
    </row>
    <row r="268">
      <c r="C268" s="87"/>
      <c r="F268" s="87"/>
    </row>
    <row r="269">
      <c r="C269" s="87"/>
      <c r="F269" s="87"/>
    </row>
    <row r="270">
      <c r="C270" s="87"/>
      <c r="F270" s="87"/>
    </row>
    <row r="271">
      <c r="C271" s="87"/>
      <c r="F271" s="87"/>
    </row>
    <row r="272">
      <c r="C272" s="87"/>
      <c r="F272" s="87"/>
    </row>
    <row r="273">
      <c r="C273" s="87"/>
      <c r="F273" s="87"/>
    </row>
    <row r="274">
      <c r="C274" s="87"/>
      <c r="F274" s="87"/>
    </row>
    <row r="275">
      <c r="C275" s="87"/>
      <c r="F275" s="87"/>
    </row>
    <row r="276">
      <c r="C276" s="87"/>
      <c r="F276" s="87"/>
    </row>
    <row r="277">
      <c r="C277" s="87"/>
      <c r="F277" s="87"/>
    </row>
    <row r="278">
      <c r="C278" s="87"/>
      <c r="F278" s="87"/>
    </row>
    <row r="279">
      <c r="C279" s="87"/>
      <c r="F279" s="87"/>
    </row>
    <row r="280">
      <c r="C280" s="87"/>
      <c r="F280" s="87"/>
    </row>
    <row r="281">
      <c r="C281" s="87"/>
      <c r="F281" s="87"/>
    </row>
    <row r="282">
      <c r="C282" s="87"/>
      <c r="F282" s="87"/>
    </row>
    <row r="283">
      <c r="C283" s="87"/>
      <c r="F283" s="87"/>
    </row>
    <row r="284">
      <c r="C284" s="87"/>
      <c r="F284" s="87"/>
    </row>
    <row r="285">
      <c r="C285" s="87"/>
      <c r="F285" s="87"/>
    </row>
    <row r="286">
      <c r="C286" s="87"/>
      <c r="F286" s="87"/>
    </row>
    <row r="287">
      <c r="C287" s="87"/>
      <c r="F287" s="87"/>
    </row>
    <row r="288">
      <c r="C288" s="87"/>
      <c r="F288" s="87"/>
    </row>
    <row r="289">
      <c r="C289" s="87"/>
      <c r="F289" s="87"/>
    </row>
    <row r="290">
      <c r="C290" s="87"/>
      <c r="F290" s="87"/>
    </row>
    <row r="291">
      <c r="C291" s="87"/>
      <c r="F291" s="87"/>
    </row>
    <row r="292">
      <c r="C292" s="87"/>
      <c r="F292" s="87"/>
    </row>
    <row r="293">
      <c r="C293" s="87"/>
      <c r="F293" s="87"/>
    </row>
    <row r="294">
      <c r="C294" s="87"/>
      <c r="F294" s="87"/>
    </row>
    <row r="295">
      <c r="C295" s="87"/>
      <c r="F295" s="87"/>
    </row>
    <row r="296">
      <c r="C296" s="87"/>
      <c r="F296" s="87"/>
    </row>
    <row r="297">
      <c r="C297" s="87"/>
      <c r="F297" s="87"/>
    </row>
    <row r="298">
      <c r="C298" s="87"/>
      <c r="F298" s="87"/>
    </row>
    <row r="299">
      <c r="C299" s="87"/>
      <c r="F299" s="87"/>
    </row>
    <row r="300">
      <c r="C300" s="87"/>
      <c r="F300" s="87"/>
    </row>
    <row r="301">
      <c r="C301" s="87"/>
      <c r="F301" s="87"/>
    </row>
    <row r="302">
      <c r="C302" s="87"/>
      <c r="F302" s="87"/>
    </row>
    <row r="303">
      <c r="C303" s="87"/>
      <c r="F303" s="87"/>
    </row>
    <row r="304">
      <c r="C304" s="87"/>
      <c r="F304" s="87"/>
    </row>
    <row r="305">
      <c r="C305" s="87"/>
      <c r="F305" s="87"/>
    </row>
    <row r="306">
      <c r="C306" s="87"/>
      <c r="F306" s="87"/>
    </row>
    <row r="307">
      <c r="C307" s="87"/>
      <c r="F307" s="87"/>
    </row>
    <row r="308">
      <c r="C308" s="87"/>
      <c r="F308" s="87"/>
    </row>
    <row r="309">
      <c r="C309" s="87"/>
      <c r="F309" s="87"/>
    </row>
    <row r="310">
      <c r="C310" s="87"/>
      <c r="F310" s="87"/>
    </row>
    <row r="311">
      <c r="C311" s="87"/>
      <c r="F311" s="87"/>
    </row>
    <row r="312">
      <c r="C312" s="87"/>
      <c r="F312" s="87"/>
    </row>
    <row r="313">
      <c r="C313" s="87"/>
      <c r="F313" s="87"/>
    </row>
    <row r="314">
      <c r="C314" s="87"/>
      <c r="F314" s="87"/>
    </row>
    <row r="315">
      <c r="C315" s="87"/>
      <c r="F315" s="87"/>
    </row>
    <row r="316">
      <c r="C316" s="87"/>
      <c r="F316" s="87"/>
    </row>
    <row r="317">
      <c r="C317" s="87"/>
      <c r="F317" s="87"/>
    </row>
    <row r="318">
      <c r="C318" s="87"/>
      <c r="F318" s="87"/>
    </row>
    <row r="319">
      <c r="C319" s="87"/>
      <c r="F319" s="87"/>
    </row>
    <row r="320">
      <c r="C320" s="87"/>
      <c r="F320" s="87"/>
    </row>
    <row r="321">
      <c r="C321" s="87"/>
      <c r="F321" s="87"/>
    </row>
    <row r="322">
      <c r="C322" s="87"/>
      <c r="F322" s="87"/>
    </row>
    <row r="323">
      <c r="C323" s="87"/>
      <c r="F323" s="87"/>
    </row>
    <row r="324">
      <c r="C324" s="87"/>
      <c r="F324" s="87"/>
    </row>
    <row r="325">
      <c r="C325" s="87"/>
      <c r="F325" s="87"/>
    </row>
    <row r="326">
      <c r="C326" s="87"/>
      <c r="F326" s="87"/>
    </row>
    <row r="327">
      <c r="C327" s="87"/>
      <c r="F327" s="87"/>
    </row>
    <row r="328">
      <c r="C328" s="87"/>
      <c r="F328" s="87"/>
    </row>
    <row r="329">
      <c r="C329" s="87"/>
      <c r="F329" s="87"/>
    </row>
    <row r="330">
      <c r="C330" s="87"/>
      <c r="F330" s="87"/>
    </row>
    <row r="331">
      <c r="C331" s="87"/>
      <c r="F331" s="87"/>
    </row>
    <row r="332">
      <c r="C332" s="87"/>
      <c r="F332" s="87"/>
    </row>
    <row r="333">
      <c r="C333" s="87"/>
      <c r="F333" s="87"/>
    </row>
    <row r="334">
      <c r="C334" s="87"/>
      <c r="F334" s="87"/>
    </row>
    <row r="335">
      <c r="C335" s="87"/>
      <c r="F335" s="87"/>
    </row>
    <row r="336">
      <c r="C336" s="87"/>
      <c r="F336" s="87"/>
    </row>
    <row r="337">
      <c r="C337" s="87"/>
      <c r="F337" s="87"/>
    </row>
    <row r="338">
      <c r="C338" s="87"/>
      <c r="F338" s="87"/>
    </row>
    <row r="339">
      <c r="C339" s="87"/>
      <c r="F339" s="87"/>
    </row>
    <row r="340">
      <c r="C340" s="87"/>
      <c r="F340" s="87"/>
    </row>
    <row r="341">
      <c r="C341" s="87"/>
      <c r="F341" s="87"/>
    </row>
    <row r="342">
      <c r="C342" s="87"/>
      <c r="F342" s="87"/>
    </row>
    <row r="343">
      <c r="C343" s="87"/>
      <c r="F343" s="87"/>
    </row>
    <row r="344">
      <c r="C344" s="87"/>
      <c r="F344" s="87"/>
    </row>
    <row r="345">
      <c r="C345" s="87"/>
      <c r="F345" s="87"/>
    </row>
    <row r="346">
      <c r="C346" s="87"/>
      <c r="F346" s="87"/>
    </row>
    <row r="347">
      <c r="C347" s="87"/>
      <c r="F347" s="87"/>
    </row>
    <row r="348">
      <c r="C348" s="87"/>
      <c r="F348" s="87"/>
    </row>
    <row r="349">
      <c r="C349" s="87"/>
      <c r="F349" s="87"/>
    </row>
    <row r="350">
      <c r="C350" s="87"/>
      <c r="F350" s="87"/>
    </row>
    <row r="351">
      <c r="C351" s="87"/>
      <c r="F351" s="87"/>
    </row>
    <row r="352">
      <c r="C352" s="87"/>
      <c r="F352" s="87"/>
    </row>
    <row r="353">
      <c r="C353" s="87"/>
      <c r="F353" s="87"/>
    </row>
    <row r="354">
      <c r="C354" s="87"/>
      <c r="F354" s="87"/>
    </row>
    <row r="355">
      <c r="C355" s="87"/>
      <c r="F355" s="87"/>
    </row>
    <row r="356">
      <c r="C356" s="87"/>
      <c r="F356" s="87"/>
    </row>
    <row r="357">
      <c r="C357" s="87"/>
      <c r="F357" s="87"/>
    </row>
    <row r="358">
      <c r="C358" s="87"/>
      <c r="F358" s="87"/>
    </row>
    <row r="359">
      <c r="C359" s="87"/>
      <c r="F359" s="87"/>
    </row>
    <row r="360">
      <c r="C360" s="87"/>
      <c r="F360" s="87"/>
    </row>
    <row r="361">
      <c r="C361" s="87"/>
      <c r="F361" s="87"/>
    </row>
    <row r="362">
      <c r="C362" s="87"/>
      <c r="F362" s="87"/>
    </row>
    <row r="363">
      <c r="C363" s="87"/>
      <c r="F363" s="87"/>
    </row>
    <row r="364">
      <c r="C364" s="87"/>
      <c r="F364" s="87"/>
    </row>
    <row r="365">
      <c r="C365" s="87"/>
      <c r="F365" s="87"/>
    </row>
    <row r="366">
      <c r="C366" s="87"/>
      <c r="F366" s="87"/>
    </row>
    <row r="367">
      <c r="C367" s="87"/>
      <c r="F367" s="87"/>
    </row>
    <row r="368">
      <c r="C368" s="87"/>
      <c r="F368" s="87"/>
    </row>
    <row r="369">
      <c r="C369" s="87"/>
      <c r="F369" s="87"/>
    </row>
    <row r="370">
      <c r="C370" s="87"/>
      <c r="F370" s="87"/>
    </row>
    <row r="371">
      <c r="C371" s="87"/>
      <c r="F371" s="87"/>
    </row>
    <row r="372">
      <c r="C372" s="87"/>
      <c r="F372" s="87"/>
    </row>
    <row r="373">
      <c r="C373" s="87"/>
      <c r="F373" s="87"/>
    </row>
    <row r="374">
      <c r="C374" s="87"/>
      <c r="F374" s="87"/>
    </row>
    <row r="375">
      <c r="C375" s="87"/>
      <c r="F375" s="87"/>
    </row>
    <row r="376">
      <c r="C376" s="87"/>
      <c r="F376" s="87"/>
    </row>
    <row r="377">
      <c r="C377" s="87"/>
      <c r="F377" s="87"/>
    </row>
    <row r="378">
      <c r="C378" s="87"/>
      <c r="F378" s="87"/>
    </row>
    <row r="379">
      <c r="C379" s="87"/>
      <c r="F379" s="87"/>
    </row>
    <row r="380">
      <c r="C380" s="87"/>
      <c r="F380" s="87"/>
    </row>
    <row r="381">
      <c r="C381" s="87"/>
      <c r="F381" s="87"/>
    </row>
    <row r="382">
      <c r="C382" s="87"/>
      <c r="F382" s="87"/>
    </row>
    <row r="383">
      <c r="C383" s="87"/>
      <c r="F383" s="87"/>
    </row>
    <row r="384">
      <c r="C384" s="87"/>
      <c r="F384" s="87"/>
    </row>
    <row r="385">
      <c r="C385" s="87"/>
      <c r="F385" s="87"/>
    </row>
    <row r="386">
      <c r="C386" s="87"/>
      <c r="F386" s="87"/>
    </row>
    <row r="387">
      <c r="C387" s="87"/>
      <c r="F387" s="87"/>
    </row>
    <row r="388">
      <c r="C388" s="87"/>
      <c r="F388" s="87"/>
    </row>
    <row r="389">
      <c r="C389" s="87"/>
      <c r="F389" s="87"/>
    </row>
    <row r="390">
      <c r="C390" s="87"/>
      <c r="F390" s="87"/>
    </row>
    <row r="391">
      <c r="C391" s="87"/>
      <c r="F391" s="87"/>
    </row>
    <row r="392">
      <c r="C392" s="87"/>
      <c r="F392" s="87"/>
    </row>
    <row r="393">
      <c r="C393" s="87"/>
      <c r="F393" s="87"/>
    </row>
    <row r="394">
      <c r="C394" s="87"/>
      <c r="F394" s="87"/>
    </row>
    <row r="395">
      <c r="C395" s="87"/>
      <c r="F395" s="87"/>
    </row>
    <row r="396">
      <c r="C396" s="87"/>
      <c r="F396" s="87"/>
    </row>
    <row r="397">
      <c r="C397" s="87"/>
      <c r="F397" s="87"/>
    </row>
    <row r="398">
      <c r="C398" s="87"/>
      <c r="F398" s="87"/>
    </row>
    <row r="399">
      <c r="C399" s="87"/>
      <c r="F399" s="87"/>
    </row>
    <row r="400">
      <c r="C400" s="87"/>
      <c r="F400" s="87"/>
    </row>
    <row r="401">
      <c r="C401" s="87"/>
      <c r="F401" s="87"/>
    </row>
    <row r="402">
      <c r="C402" s="87"/>
      <c r="F402" s="87"/>
    </row>
    <row r="403">
      <c r="C403" s="87"/>
      <c r="F403" s="87"/>
    </row>
    <row r="404">
      <c r="C404" s="87"/>
      <c r="F404" s="87"/>
    </row>
    <row r="405">
      <c r="C405" s="87"/>
      <c r="F405" s="87"/>
    </row>
    <row r="406">
      <c r="C406" s="87"/>
      <c r="F406" s="87"/>
    </row>
    <row r="407">
      <c r="C407" s="87"/>
      <c r="F407" s="87"/>
    </row>
    <row r="408">
      <c r="C408" s="87"/>
      <c r="F408" s="87"/>
    </row>
    <row r="409">
      <c r="C409" s="87"/>
      <c r="F409" s="87"/>
    </row>
    <row r="410">
      <c r="C410" s="87"/>
      <c r="F410" s="87"/>
    </row>
    <row r="411">
      <c r="C411" s="87"/>
      <c r="F411" s="87"/>
    </row>
    <row r="412">
      <c r="C412" s="87"/>
      <c r="F412" s="87"/>
    </row>
    <row r="413">
      <c r="C413" s="87"/>
      <c r="F413" s="87"/>
    </row>
    <row r="414">
      <c r="C414" s="87"/>
      <c r="F414" s="87"/>
    </row>
    <row r="415">
      <c r="C415" s="87"/>
      <c r="F415" s="87"/>
    </row>
    <row r="416">
      <c r="C416" s="87"/>
      <c r="F416" s="87"/>
    </row>
    <row r="417">
      <c r="C417" s="87"/>
      <c r="F417" s="87"/>
    </row>
    <row r="418">
      <c r="C418" s="87"/>
      <c r="F418" s="87"/>
    </row>
    <row r="419">
      <c r="C419" s="87"/>
      <c r="F419" s="87"/>
    </row>
    <row r="420">
      <c r="C420" s="87"/>
      <c r="F420" s="87"/>
    </row>
    <row r="421">
      <c r="C421" s="87"/>
      <c r="F421" s="87"/>
    </row>
    <row r="422">
      <c r="C422" s="87"/>
      <c r="F422" s="87"/>
    </row>
    <row r="423">
      <c r="C423" s="87"/>
      <c r="F423" s="87"/>
    </row>
    <row r="424">
      <c r="C424" s="87"/>
      <c r="F424" s="87"/>
    </row>
    <row r="425">
      <c r="C425" s="87"/>
      <c r="F425" s="87"/>
    </row>
    <row r="426">
      <c r="C426" s="87"/>
      <c r="F426" s="87"/>
    </row>
    <row r="427">
      <c r="C427" s="87"/>
      <c r="F427" s="87"/>
    </row>
    <row r="428">
      <c r="C428" s="87"/>
      <c r="F428" s="87"/>
    </row>
    <row r="429">
      <c r="C429" s="87"/>
      <c r="F429" s="87"/>
    </row>
    <row r="430">
      <c r="C430" s="87"/>
      <c r="F430" s="87"/>
    </row>
    <row r="431">
      <c r="C431" s="87"/>
      <c r="F431" s="87"/>
    </row>
    <row r="432">
      <c r="C432" s="87"/>
      <c r="F432" s="87"/>
    </row>
    <row r="433">
      <c r="C433" s="87"/>
      <c r="F433" s="87"/>
    </row>
    <row r="434">
      <c r="C434" s="87"/>
      <c r="F434" s="87"/>
    </row>
    <row r="435">
      <c r="C435" s="87"/>
      <c r="F435" s="87"/>
    </row>
    <row r="436">
      <c r="C436" s="87"/>
      <c r="F436" s="87"/>
    </row>
    <row r="437">
      <c r="C437" s="87"/>
      <c r="F437" s="87"/>
    </row>
    <row r="438">
      <c r="C438" s="87"/>
      <c r="F438" s="87"/>
    </row>
    <row r="439">
      <c r="C439" s="87"/>
      <c r="F439" s="87"/>
    </row>
    <row r="440">
      <c r="C440" s="87"/>
      <c r="F440" s="87"/>
    </row>
    <row r="441">
      <c r="C441" s="87"/>
      <c r="F441" s="87"/>
    </row>
    <row r="442">
      <c r="C442" s="87"/>
      <c r="F442" s="87"/>
    </row>
    <row r="443">
      <c r="C443" s="87"/>
      <c r="F443" s="87"/>
    </row>
    <row r="444">
      <c r="C444" s="87"/>
      <c r="F444" s="87"/>
    </row>
    <row r="445">
      <c r="C445" s="87"/>
      <c r="F445" s="87"/>
    </row>
    <row r="446">
      <c r="C446" s="87"/>
      <c r="F446" s="87"/>
    </row>
    <row r="447">
      <c r="C447" s="87"/>
      <c r="F447" s="87"/>
    </row>
    <row r="448">
      <c r="C448" s="87"/>
      <c r="F448" s="87"/>
    </row>
    <row r="449">
      <c r="C449" s="87"/>
      <c r="F449" s="87"/>
    </row>
    <row r="450">
      <c r="C450" s="87"/>
      <c r="F450" s="87"/>
    </row>
    <row r="451">
      <c r="C451" s="87"/>
      <c r="F451" s="87"/>
    </row>
    <row r="452">
      <c r="C452" s="87"/>
      <c r="F452" s="87"/>
    </row>
    <row r="453">
      <c r="C453" s="87"/>
      <c r="F453" s="87"/>
    </row>
    <row r="454">
      <c r="C454" s="87"/>
      <c r="F454" s="87"/>
    </row>
    <row r="455">
      <c r="C455" s="87"/>
      <c r="F455" s="87"/>
    </row>
    <row r="456">
      <c r="C456" s="87"/>
      <c r="F456" s="87"/>
    </row>
    <row r="457">
      <c r="C457" s="87"/>
      <c r="F457" s="87"/>
    </row>
    <row r="458">
      <c r="C458" s="87"/>
      <c r="F458" s="87"/>
    </row>
    <row r="459">
      <c r="C459" s="87"/>
      <c r="F459" s="87"/>
    </row>
    <row r="460">
      <c r="C460" s="87"/>
      <c r="F460" s="87"/>
    </row>
    <row r="461">
      <c r="C461" s="87"/>
      <c r="F461" s="87"/>
    </row>
    <row r="462">
      <c r="C462" s="87"/>
      <c r="F462" s="87"/>
    </row>
    <row r="463">
      <c r="C463" s="87"/>
      <c r="F463" s="87"/>
    </row>
    <row r="464">
      <c r="C464" s="87"/>
      <c r="F464" s="87"/>
    </row>
    <row r="465">
      <c r="C465" s="87"/>
      <c r="F465" s="87"/>
    </row>
    <row r="466">
      <c r="C466" s="87"/>
      <c r="F466" s="87"/>
    </row>
    <row r="467">
      <c r="C467" s="87"/>
      <c r="F467" s="87"/>
    </row>
    <row r="468">
      <c r="C468" s="87"/>
      <c r="F468" s="87"/>
    </row>
    <row r="469">
      <c r="C469" s="87"/>
      <c r="F469" s="87"/>
    </row>
    <row r="470">
      <c r="C470" s="87"/>
      <c r="F470" s="87"/>
    </row>
    <row r="471">
      <c r="C471" s="87"/>
      <c r="F471" s="87"/>
    </row>
    <row r="472">
      <c r="C472" s="87"/>
      <c r="F472" s="87"/>
    </row>
    <row r="473">
      <c r="C473" s="87"/>
      <c r="F473" s="87"/>
    </row>
    <row r="474">
      <c r="C474" s="87"/>
      <c r="F474" s="87"/>
    </row>
    <row r="475">
      <c r="C475" s="87"/>
      <c r="F475" s="87"/>
    </row>
    <row r="476">
      <c r="C476" s="87"/>
      <c r="F476" s="87"/>
    </row>
    <row r="477">
      <c r="C477" s="87"/>
      <c r="F477" s="87"/>
    </row>
    <row r="478">
      <c r="C478" s="87"/>
      <c r="F478" s="87"/>
    </row>
    <row r="479">
      <c r="C479" s="87"/>
      <c r="F479" s="87"/>
    </row>
    <row r="480">
      <c r="C480" s="87"/>
      <c r="F480" s="87"/>
    </row>
    <row r="481">
      <c r="C481" s="87"/>
      <c r="F481" s="87"/>
    </row>
    <row r="482">
      <c r="C482" s="87"/>
      <c r="F482" s="87"/>
    </row>
    <row r="483">
      <c r="C483" s="87"/>
      <c r="F483" s="87"/>
    </row>
    <row r="484">
      <c r="C484" s="87"/>
      <c r="F484" s="87"/>
    </row>
    <row r="485">
      <c r="C485" s="87"/>
      <c r="F485" s="87"/>
    </row>
    <row r="486">
      <c r="C486" s="87"/>
      <c r="F486" s="87"/>
    </row>
    <row r="487">
      <c r="C487" s="87"/>
      <c r="F487" s="87"/>
    </row>
    <row r="488">
      <c r="C488" s="87"/>
      <c r="F488" s="87"/>
    </row>
    <row r="489">
      <c r="C489" s="87"/>
      <c r="F489" s="87"/>
    </row>
    <row r="490">
      <c r="C490" s="87"/>
      <c r="F490" s="87"/>
    </row>
    <row r="491">
      <c r="C491" s="87"/>
      <c r="F491" s="87"/>
    </row>
    <row r="492">
      <c r="C492" s="87"/>
      <c r="F492" s="87"/>
    </row>
    <row r="493">
      <c r="C493" s="87"/>
      <c r="F493" s="87"/>
    </row>
    <row r="494">
      <c r="C494" s="87"/>
      <c r="F494" s="87"/>
    </row>
    <row r="495">
      <c r="C495" s="87"/>
      <c r="F495" s="87"/>
    </row>
    <row r="496">
      <c r="C496" s="87"/>
      <c r="F496" s="87"/>
    </row>
    <row r="497">
      <c r="C497" s="87"/>
      <c r="F497" s="87"/>
    </row>
    <row r="498">
      <c r="C498" s="87"/>
      <c r="F498" s="87"/>
    </row>
    <row r="499">
      <c r="C499" s="87"/>
      <c r="F499" s="87"/>
    </row>
    <row r="500">
      <c r="C500" s="87"/>
      <c r="F500" s="87"/>
    </row>
    <row r="501">
      <c r="C501" s="87"/>
      <c r="F501" s="87"/>
    </row>
    <row r="502">
      <c r="C502" s="87"/>
      <c r="F502" s="87"/>
    </row>
    <row r="503">
      <c r="C503" s="87"/>
      <c r="F503" s="87"/>
    </row>
    <row r="504">
      <c r="C504" s="87"/>
      <c r="F504" s="87"/>
    </row>
    <row r="505">
      <c r="C505" s="87"/>
      <c r="F505" s="87"/>
    </row>
    <row r="506">
      <c r="C506" s="87"/>
      <c r="F506" s="87"/>
    </row>
    <row r="507">
      <c r="C507" s="87"/>
      <c r="F507" s="87"/>
    </row>
    <row r="508">
      <c r="C508" s="87"/>
      <c r="F508" s="87"/>
    </row>
    <row r="509">
      <c r="C509" s="87"/>
      <c r="F509" s="87"/>
    </row>
    <row r="510">
      <c r="C510" s="87"/>
      <c r="F510" s="87"/>
    </row>
    <row r="511">
      <c r="C511" s="87"/>
      <c r="F511" s="87"/>
    </row>
    <row r="512">
      <c r="C512" s="87"/>
      <c r="F512" s="87"/>
    </row>
    <row r="513">
      <c r="C513" s="87"/>
      <c r="F513" s="87"/>
    </row>
    <row r="514">
      <c r="C514" s="87"/>
      <c r="F514" s="87"/>
    </row>
    <row r="515">
      <c r="C515" s="87"/>
      <c r="F515" s="87"/>
    </row>
    <row r="516">
      <c r="C516" s="87"/>
      <c r="F516" s="87"/>
    </row>
    <row r="517">
      <c r="C517" s="87"/>
      <c r="F517" s="87"/>
    </row>
    <row r="518">
      <c r="C518" s="87"/>
      <c r="F518" s="87"/>
    </row>
    <row r="519">
      <c r="C519" s="87"/>
      <c r="F519" s="87"/>
    </row>
    <row r="520">
      <c r="C520" s="87"/>
      <c r="F520" s="87"/>
    </row>
    <row r="521">
      <c r="C521" s="87"/>
      <c r="F521" s="87"/>
    </row>
    <row r="522">
      <c r="C522" s="87"/>
      <c r="F522" s="87"/>
    </row>
    <row r="523">
      <c r="C523" s="87"/>
      <c r="F523" s="87"/>
    </row>
    <row r="524">
      <c r="C524" s="87"/>
      <c r="F524" s="87"/>
    </row>
    <row r="525">
      <c r="C525" s="87"/>
      <c r="F525" s="87"/>
    </row>
    <row r="526">
      <c r="C526" s="87"/>
      <c r="F526" s="87"/>
    </row>
    <row r="527">
      <c r="C527" s="87"/>
      <c r="F527" s="87"/>
    </row>
    <row r="528">
      <c r="C528" s="87"/>
      <c r="F528" s="87"/>
    </row>
    <row r="529">
      <c r="C529" s="87"/>
      <c r="F529" s="87"/>
    </row>
    <row r="530">
      <c r="C530" s="87"/>
      <c r="F530" s="87"/>
    </row>
    <row r="531">
      <c r="C531" s="87"/>
      <c r="F531" s="87"/>
    </row>
    <row r="532">
      <c r="C532" s="87"/>
      <c r="F532" s="87"/>
    </row>
    <row r="533">
      <c r="C533" s="87"/>
      <c r="F533" s="87"/>
    </row>
    <row r="534">
      <c r="C534" s="87"/>
      <c r="F534" s="87"/>
    </row>
    <row r="535">
      <c r="C535" s="87"/>
      <c r="F535" s="87"/>
    </row>
    <row r="536">
      <c r="C536" s="87"/>
      <c r="F536" s="87"/>
    </row>
    <row r="537">
      <c r="C537" s="87"/>
      <c r="F537" s="87"/>
    </row>
    <row r="538">
      <c r="C538" s="87"/>
      <c r="F538" s="87"/>
    </row>
    <row r="539">
      <c r="C539" s="87"/>
      <c r="F539" s="87"/>
    </row>
    <row r="540">
      <c r="C540" s="87"/>
      <c r="F540" s="87"/>
    </row>
    <row r="541">
      <c r="C541" s="87"/>
      <c r="F541" s="87"/>
    </row>
    <row r="542">
      <c r="C542" s="87"/>
      <c r="F542" s="87"/>
    </row>
    <row r="543">
      <c r="C543" s="87"/>
      <c r="F543" s="87"/>
    </row>
    <row r="544">
      <c r="C544" s="87"/>
      <c r="F544" s="87"/>
    </row>
    <row r="545">
      <c r="C545" s="87"/>
      <c r="F545" s="87"/>
    </row>
    <row r="546">
      <c r="C546" s="87"/>
      <c r="F546" s="87"/>
    </row>
    <row r="547">
      <c r="C547" s="87"/>
      <c r="F547" s="87"/>
    </row>
    <row r="548">
      <c r="C548" s="87"/>
      <c r="F548" s="87"/>
    </row>
    <row r="549">
      <c r="C549" s="87"/>
      <c r="F549" s="87"/>
    </row>
    <row r="550">
      <c r="C550" s="87"/>
      <c r="F550" s="87"/>
    </row>
    <row r="551">
      <c r="C551" s="87"/>
      <c r="F551" s="87"/>
    </row>
    <row r="552">
      <c r="C552" s="87"/>
      <c r="F552" s="87"/>
    </row>
    <row r="553">
      <c r="C553" s="87"/>
      <c r="F553" s="87"/>
    </row>
    <row r="554">
      <c r="C554" s="87"/>
      <c r="F554" s="87"/>
    </row>
    <row r="555">
      <c r="C555" s="87"/>
      <c r="F555" s="87"/>
    </row>
    <row r="556">
      <c r="C556" s="87"/>
      <c r="F556" s="87"/>
    </row>
    <row r="557">
      <c r="C557" s="87"/>
      <c r="F557" s="87"/>
    </row>
    <row r="558">
      <c r="C558" s="87"/>
      <c r="F558" s="87"/>
    </row>
    <row r="559">
      <c r="C559" s="87"/>
      <c r="F559" s="87"/>
    </row>
    <row r="560">
      <c r="C560" s="87"/>
      <c r="F560" s="87"/>
    </row>
    <row r="561">
      <c r="C561" s="87"/>
      <c r="F561" s="87"/>
    </row>
    <row r="562">
      <c r="C562" s="87"/>
      <c r="F562" s="87"/>
    </row>
    <row r="563">
      <c r="C563" s="87"/>
      <c r="F563" s="87"/>
    </row>
    <row r="564">
      <c r="C564" s="87"/>
      <c r="F564" s="87"/>
    </row>
    <row r="565">
      <c r="C565" s="87"/>
      <c r="F565" s="87"/>
    </row>
    <row r="566">
      <c r="C566" s="87"/>
      <c r="F566" s="87"/>
    </row>
    <row r="567">
      <c r="C567" s="87"/>
      <c r="F567" s="87"/>
    </row>
    <row r="568">
      <c r="C568" s="87"/>
      <c r="F568" s="87"/>
    </row>
    <row r="569">
      <c r="C569" s="87"/>
      <c r="F569" s="87"/>
    </row>
    <row r="570">
      <c r="C570" s="87"/>
      <c r="F570" s="87"/>
    </row>
    <row r="571">
      <c r="C571" s="87"/>
      <c r="F571" s="87"/>
    </row>
    <row r="572">
      <c r="C572" s="87"/>
      <c r="F572" s="87"/>
    </row>
    <row r="573">
      <c r="C573" s="87"/>
      <c r="F573" s="87"/>
    </row>
    <row r="574">
      <c r="C574" s="87"/>
      <c r="F574" s="87"/>
    </row>
    <row r="575">
      <c r="C575" s="87"/>
      <c r="F575" s="87"/>
    </row>
    <row r="576">
      <c r="C576" s="87"/>
      <c r="F576" s="87"/>
    </row>
    <row r="577">
      <c r="C577" s="87"/>
      <c r="F577" s="87"/>
    </row>
    <row r="578">
      <c r="C578" s="87"/>
      <c r="F578" s="87"/>
    </row>
    <row r="579">
      <c r="C579" s="87"/>
      <c r="F579" s="87"/>
    </row>
    <row r="580">
      <c r="C580" s="87"/>
      <c r="F580" s="87"/>
    </row>
    <row r="581">
      <c r="C581" s="87"/>
      <c r="F581" s="87"/>
    </row>
    <row r="582">
      <c r="C582" s="87"/>
      <c r="F582" s="87"/>
    </row>
    <row r="583">
      <c r="C583" s="87"/>
      <c r="F583" s="87"/>
    </row>
    <row r="584">
      <c r="C584" s="87"/>
      <c r="F584" s="87"/>
    </row>
    <row r="585">
      <c r="C585" s="87"/>
      <c r="F585" s="87"/>
    </row>
    <row r="586">
      <c r="C586" s="87"/>
      <c r="F586" s="87"/>
    </row>
    <row r="587">
      <c r="C587" s="87"/>
      <c r="F587" s="87"/>
    </row>
    <row r="588">
      <c r="C588" s="87"/>
      <c r="F588" s="87"/>
    </row>
    <row r="589">
      <c r="C589" s="87"/>
      <c r="F589" s="87"/>
    </row>
    <row r="590">
      <c r="C590" s="87"/>
      <c r="F590" s="87"/>
    </row>
    <row r="591">
      <c r="C591" s="87"/>
      <c r="F591" s="87"/>
    </row>
    <row r="592">
      <c r="C592" s="87"/>
      <c r="F592" s="87"/>
    </row>
    <row r="593">
      <c r="C593" s="87"/>
      <c r="F593" s="87"/>
    </row>
    <row r="594">
      <c r="C594" s="87"/>
      <c r="F594" s="87"/>
    </row>
    <row r="595">
      <c r="C595" s="87"/>
      <c r="F595" s="87"/>
    </row>
    <row r="596">
      <c r="C596" s="87"/>
      <c r="F596" s="87"/>
    </row>
    <row r="597">
      <c r="C597" s="87"/>
      <c r="F597" s="87"/>
    </row>
    <row r="598">
      <c r="C598" s="87"/>
      <c r="F598" s="87"/>
    </row>
    <row r="599">
      <c r="C599" s="87"/>
      <c r="F599" s="87"/>
    </row>
    <row r="600">
      <c r="C600" s="87"/>
      <c r="F600" s="87"/>
    </row>
    <row r="601">
      <c r="C601" s="87"/>
      <c r="F601" s="87"/>
    </row>
    <row r="602">
      <c r="C602" s="87"/>
      <c r="F602" s="87"/>
    </row>
    <row r="603">
      <c r="C603" s="87"/>
      <c r="F603" s="87"/>
    </row>
    <row r="604">
      <c r="C604" s="87"/>
      <c r="F604" s="87"/>
    </row>
    <row r="605">
      <c r="C605" s="87"/>
      <c r="F605" s="87"/>
    </row>
    <row r="606">
      <c r="C606" s="87"/>
      <c r="F606" s="87"/>
    </row>
    <row r="607">
      <c r="C607" s="87"/>
      <c r="F607" s="87"/>
    </row>
    <row r="608">
      <c r="C608" s="87"/>
      <c r="F608" s="87"/>
    </row>
    <row r="609">
      <c r="C609" s="87"/>
      <c r="F609" s="87"/>
    </row>
    <row r="610">
      <c r="C610" s="87"/>
      <c r="F610" s="87"/>
    </row>
    <row r="611">
      <c r="C611" s="87"/>
      <c r="F611" s="87"/>
    </row>
    <row r="612">
      <c r="C612" s="87"/>
      <c r="F612" s="87"/>
    </row>
    <row r="613">
      <c r="C613" s="87"/>
      <c r="F613" s="87"/>
    </row>
    <row r="614">
      <c r="C614" s="87"/>
      <c r="F614" s="87"/>
    </row>
    <row r="615">
      <c r="C615" s="87"/>
      <c r="F615" s="87"/>
    </row>
    <row r="616">
      <c r="C616" s="87"/>
      <c r="F616" s="87"/>
    </row>
    <row r="617">
      <c r="C617" s="87"/>
      <c r="F617" s="87"/>
    </row>
    <row r="618">
      <c r="C618" s="87"/>
      <c r="F618" s="87"/>
    </row>
    <row r="619">
      <c r="C619" s="87"/>
      <c r="F619" s="87"/>
    </row>
    <row r="620">
      <c r="C620" s="87"/>
      <c r="F620" s="87"/>
    </row>
    <row r="621">
      <c r="C621" s="87"/>
      <c r="F621" s="87"/>
    </row>
    <row r="622">
      <c r="C622" s="87"/>
      <c r="F622" s="87"/>
    </row>
    <row r="623">
      <c r="C623" s="87"/>
      <c r="F623" s="87"/>
    </row>
    <row r="624">
      <c r="C624" s="87"/>
      <c r="F624" s="87"/>
    </row>
    <row r="625">
      <c r="C625" s="87"/>
      <c r="F625" s="87"/>
    </row>
    <row r="626">
      <c r="C626" s="87"/>
      <c r="F626" s="87"/>
    </row>
    <row r="627">
      <c r="C627" s="87"/>
      <c r="F627" s="87"/>
    </row>
    <row r="628">
      <c r="C628" s="87"/>
      <c r="F628" s="87"/>
    </row>
    <row r="629">
      <c r="C629" s="87"/>
      <c r="F629" s="87"/>
    </row>
    <row r="630">
      <c r="C630" s="87"/>
      <c r="F630" s="87"/>
    </row>
    <row r="631">
      <c r="C631" s="87"/>
      <c r="F631" s="87"/>
    </row>
    <row r="632">
      <c r="C632" s="87"/>
      <c r="F632" s="87"/>
    </row>
    <row r="633">
      <c r="C633" s="87"/>
      <c r="F633" s="87"/>
    </row>
    <row r="634">
      <c r="C634" s="87"/>
      <c r="F634" s="87"/>
    </row>
    <row r="635">
      <c r="C635" s="87"/>
      <c r="F635" s="87"/>
    </row>
    <row r="636">
      <c r="C636" s="87"/>
      <c r="F636" s="87"/>
    </row>
    <row r="637">
      <c r="C637" s="87"/>
      <c r="F637" s="87"/>
    </row>
    <row r="638">
      <c r="C638" s="87"/>
      <c r="F638" s="87"/>
    </row>
    <row r="639">
      <c r="C639" s="87"/>
      <c r="F639" s="87"/>
    </row>
    <row r="640">
      <c r="C640" s="87"/>
      <c r="F640" s="87"/>
    </row>
    <row r="641">
      <c r="C641" s="87"/>
      <c r="F641" s="87"/>
    </row>
    <row r="642">
      <c r="C642" s="87"/>
      <c r="F642" s="87"/>
    </row>
    <row r="643">
      <c r="C643" s="87"/>
      <c r="F643" s="87"/>
    </row>
    <row r="644">
      <c r="C644" s="87"/>
      <c r="F644" s="87"/>
    </row>
    <row r="645">
      <c r="C645" s="87"/>
      <c r="F645" s="87"/>
    </row>
    <row r="646">
      <c r="C646" s="87"/>
      <c r="F646" s="87"/>
    </row>
    <row r="647">
      <c r="C647" s="87"/>
      <c r="F647" s="87"/>
    </row>
    <row r="648">
      <c r="C648" s="87"/>
      <c r="F648" s="87"/>
    </row>
    <row r="649">
      <c r="C649" s="87"/>
      <c r="F649" s="87"/>
    </row>
    <row r="650">
      <c r="C650" s="87"/>
      <c r="F650" s="87"/>
    </row>
    <row r="651">
      <c r="C651" s="87"/>
      <c r="F651" s="87"/>
    </row>
    <row r="652">
      <c r="C652" s="87"/>
      <c r="F652" s="87"/>
    </row>
    <row r="653">
      <c r="C653" s="87"/>
      <c r="F653" s="87"/>
    </row>
    <row r="654">
      <c r="C654" s="87"/>
      <c r="F654" s="87"/>
    </row>
    <row r="655">
      <c r="C655" s="87"/>
      <c r="F655" s="87"/>
    </row>
    <row r="656">
      <c r="C656" s="87"/>
      <c r="F656" s="87"/>
    </row>
    <row r="657">
      <c r="C657" s="87"/>
      <c r="F657" s="87"/>
    </row>
    <row r="658">
      <c r="C658" s="87"/>
      <c r="F658" s="87"/>
    </row>
    <row r="659">
      <c r="C659" s="87"/>
      <c r="F659" s="87"/>
    </row>
    <row r="660">
      <c r="C660" s="87"/>
      <c r="F660" s="87"/>
    </row>
    <row r="661">
      <c r="C661" s="87"/>
      <c r="F661" s="87"/>
    </row>
    <row r="662">
      <c r="C662" s="87"/>
      <c r="F662" s="87"/>
    </row>
    <row r="663">
      <c r="C663" s="87"/>
      <c r="F663" s="87"/>
    </row>
    <row r="664">
      <c r="C664" s="87"/>
      <c r="F664" s="87"/>
    </row>
    <row r="665">
      <c r="C665" s="87"/>
      <c r="F665" s="87"/>
    </row>
    <row r="666">
      <c r="C666" s="87"/>
      <c r="F666" s="87"/>
    </row>
    <row r="667">
      <c r="C667" s="87"/>
      <c r="F667" s="87"/>
    </row>
    <row r="668">
      <c r="C668" s="87"/>
      <c r="F668" s="87"/>
    </row>
    <row r="669">
      <c r="C669" s="87"/>
      <c r="F669" s="87"/>
    </row>
    <row r="670">
      <c r="C670" s="87"/>
      <c r="F670" s="87"/>
    </row>
    <row r="671">
      <c r="C671" s="87"/>
      <c r="F671" s="87"/>
    </row>
    <row r="672">
      <c r="C672" s="87"/>
      <c r="F672" s="87"/>
    </row>
    <row r="673">
      <c r="C673" s="87"/>
      <c r="F673" s="87"/>
    </row>
    <row r="674">
      <c r="C674" s="87"/>
      <c r="F674" s="87"/>
    </row>
    <row r="675">
      <c r="C675" s="87"/>
      <c r="F675" s="87"/>
    </row>
    <row r="676">
      <c r="C676" s="87"/>
      <c r="F676" s="87"/>
    </row>
    <row r="677">
      <c r="C677" s="87"/>
      <c r="F677" s="87"/>
    </row>
    <row r="678">
      <c r="C678" s="87"/>
      <c r="F678" s="87"/>
    </row>
    <row r="679">
      <c r="C679" s="87"/>
      <c r="F679" s="87"/>
    </row>
    <row r="680">
      <c r="C680" s="87"/>
      <c r="F680" s="87"/>
    </row>
    <row r="681">
      <c r="C681" s="87"/>
      <c r="F681" s="87"/>
    </row>
    <row r="682">
      <c r="C682" s="87"/>
      <c r="F682" s="87"/>
    </row>
    <row r="683">
      <c r="C683" s="87"/>
      <c r="F683" s="87"/>
    </row>
    <row r="684">
      <c r="C684" s="87"/>
      <c r="F684" s="87"/>
    </row>
    <row r="685">
      <c r="C685" s="87"/>
      <c r="F685" s="87"/>
    </row>
    <row r="686">
      <c r="C686" s="87"/>
      <c r="F686" s="87"/>
    </row>
    <row r="687">
      <c r="C687" s="87"/>
      <c r="F687" s="87"/>
    </row>
    <row r="688">
      <c r="C688" s="87"/>
      <c r="F688" s="87"/>
    </row>
    <row r="689">
      <c r="C689" s="87"/>
      <c r="F689" s="87"/>
    </row>
    <row r="690">
      <c r="C690" s="87"/>
      <c r="F690" s="87"/>
    </row>
    <row r="691">
      <c r="C691" s="87"/>
      <c r="F691" s="87"/>
    </row>
    <row r="692">
      <c r="C692" s="87"/>
      <c r="F692" s="87"/>
    </row>
    <row r="693">
      <c r="C693" s="87"/>
      <c r="F693" s="87"/>
    </row>
    <row r="694">
      <c r="C694" s="87"/>
      <c r="F694" s="87"/>
    </row>
    <row r="695">
      <c r="C695" s="87"/>
      <c r="F695" s="87"/>
    </row>
    <row r="696">
      <c r="C696" s="87"/>
      <c r="F696" s="87"/>
    </row>
    <row r="697">
      <c r="C697" s="87"/>
      <c r="F697" s="87"/>
    </row>
    <row r="698">
      <c r="C698" s="87"/>
      <c r="F698" s="87"/>
    </row>
    <row r="699">
      <c r="C699" s="87"/>
      <c r="F699" s="87"/>
    </row>
    <row r="700">
      <c r="C700" s="87"/>
      <c r="F700" s="87"/>
    </row>
    <row r="701">
      <c r="C701" s="87"/>
      <c r="F701" s="87"/>
    </row>
    <row r="702">
      <c r="C702" s="87"/>
      <c r="F702" s="87"/>
    </row>
    <row r="703">
      <c r="C703" s="87"/>
      <c r="F703" s="87"/>
    </row>
    <row r="704">
      <c r="C704" s="87"/>
      <c r="F704" s="87"/>
    </row>
    <row r="705">
      <c r="C705" s="87"/>
      <c r="F705" s="87"/>
    </row>
    <row r="706">
      <c r="C706" s="87"/>
      <c r="F706" s="87"/>
    </row>
    <row r="707">
      <c r="C707" s="87"/>
      <c r="F707" s="87"/>
    </row>
    <row r="708">
      <c r="C708" s="87"/>
      <c r="F708" s="87"/>
    </row>
    <row r="709">
      <c r="C709" s="87"/>
      <c r="F709" s="87"/>
    </row>
    <row r="710">
      <c r="C710" s="87"/>
      <c r="F710" s="87"/>
    </row>
    <row r="711">
      <c r="C711" s="87"/>
      <c r="F711" s="87"/>
    </row>
    <row r="712">
      <c r="C712" s="87"/>
      <c r="F712" s="87"/>
    </row>
    <row r="713">
      <c r="C713" s="87"/>
      <c r="F713" s="87"/>
    </row>
    <row r="714">
      <c r="C714" s="87"/>
      <c r="F714" s="87"/>
    </row>
    <row r="715">
      <c r="C715" s="87"/>
      <c r="F715" s="87"/>
    </row>
    <row r="716">
      <c r="C716" s="87"/>
      <c r="F716" s="87"/>
    </row>
    <row r="717">
      <c r="C717" s="87"/>
      <c r="F717" s="87"/>
    </row>
    <row r="718">
      <c r="C718" s="87"/>
      <c r="F718" s="87"/>
    </row>
    <row r="719">
      <c r="C719" s="87"/>
      <c r="F719" s="87"/>
    </row>
    <row r="720">
      <c r="C720" s="87"/>
      <c r="F720" s="87"/>
    </row>
    <row r="721">
      <c r="C721" s="87"/>
      <c r="F721" s="87"/>
    </row>
    <row r="722">
      <c r="C722" s="87"/>
      <c r="F722" s="87"/>
    </row>
    <row r="723">
      <c r="C723" s="87"/>
      <c r="F723" s="87"/>
    </row>
    <row r="724">
      <c r="C724" s="87"/>
      <c r="F724" s="87"/>
    </row>
    <row r="725">
      <c r="C725" s="87"/>
      <c r="F725" s="87"/>
    </row>
    <row r="726">
      <c r="C726" s="87"/>
      <c r="F726" s="87"/>
    </row>
    <row r="727">
      <c r="C727" s="87"/>
      <c r="F727" s="87"/>
    </row>
    <row r="728">
      <c r="C728" s="87"/>
      <c r="F728" s="87"/>
    </row>
    <row r="729">
      <c r="C729" s="87"/>
      <c r="F729" s="87"/>
    </row>
    <row r="730">
      <c r="C730" s="87"/>
      <c r="F730" s="87"/>
    </row>
    <row r="731">
      <c r="C731" s="87"/>
      <c r="F731" s="87"/>
    </row>
    <row r="732">
      <c r="C732" s="87"/>
      <c r="F732" s="87"/>
    </row>
    <row r="733">
      <c r="C733" s="87"/>
      <c r="F733" s="87"/>
    </row>
    <row r="734">
      <c r="C734" s="87"/>
      <c r="F734" s="87"/>
    </row>
    <row r="735">
      <c r="C735" s="87"/>
      <c r="F735" s="87"/>
    </row>
    <row r="736">
      <c r="C736" s="87"/>
      <c r="F736" s="87"/>
    </row>
    <row r="737">
      <c r="C737" s="87"/>
      <c r="F737" s="87"/>
    </row>
    <row r="738">
      <c r="C738" s="87"/>
      <c r="F738" s="87"/>
    </row>
    <row r="739">
      <c r="C739" s="87"/>
      <c r="F739" s="87"/>
    </row>
    <row r="740">
      <c r="C740" s="87"/>
      <c r="F740" s="87"/>
    </row>
    <row r="741">
      <c r="C741" s="87"/>
      <c r="F741" s="87"/>
    </row>
    <row r="742">
      <c r="C742" s="87"/>
      <c r="F742" s="87"/>
    </row>
    <row r="743">
      <c r="C743" s="87"/>
      <c r="F743" s="87"/>
    </row>
    <row r="744">
      <c r="C744" s="87"/>
      <c r="F744" s="87"/>
    </row>
    <row r="745">
      <c r="C745" s="87"/>
      <c r="F745" s="87"/>
    </row>
    <row r="746">
      <c r="C746" s="87"/>
      <c r="F746" s="87"/>
    </row>
    <row r="747">
      <c r="C747" s="87"/>
      <c r="F747" s="87"/>
    </row>
    <row r="748">
      <c r="C748" s="87"/>
      <c r="F748" s="87"/>
    </row>
    <row r="749">
      <c r="C749" s="87"/>
      <c r="F749" s="87"/>
    </row>
    <row r="750">
      <c r="C750" s="87"/>
      <c r="F750" s="87"/>
    </row>
    <row r="751">
      <c r="C751" s="87"/>
      <c r="F751" s="87"/>
    </row>
    <row r="752">
      <c r="C752" s="87"/>
      <c r="F752" s="87"/>
    </row>
    <row r="753">
      <c r="C753" s="87"/>
      <c r="F753" s="87"/>
    </row>
    <row r="754">
      <c r="C754" s="87"/>
      <c r="F754" s="87"/>
    </row>
    <row r="755">
      <c r="C755" s="87"/>
      <c r="F755" s="87"/>
    </row>
    <row r="756">
      <c r="C756" s="87"/>
      <c r="F756" s="87"/>
    </row>
    <row r="757">
      <c r="C757" s="87"/>
      <c r="F757" s="87"/>
    </row>
    <row r="758">
      <c r="C758" s="87"/>
      <c r="F758" s="87"/>
    </row>
    <row r="759">
      <c r="C759" s="87"/>
      <c r="F759" s="87"/>
    </row>
    <row r="760">
      <c r="C760" s="87"/>
      <c r="F760" s="87"/>
    </row>
    <row r="761">
      <c r="C761" s="87"/>
      <c r="F761" s="87"/>
    </row>
    <row r="762">
      <c r="C762" s="87"/>
      <c r="F762" s="87"/>
    </row>
    <row r="763">
      <c r="C763" s="87"/>
      <c r="F763" s="87"/>
    </row>
    <row r="764">
      <c r="C764" s="87"/>
      <c r="F764" s="87"/>
    </row>
    <row r="765">
      <c r="C765" s="87"/>
      <c r="F765" s="87"/>
    </row>
    <row r="766">
      <c r="C766" s="87"/>
      <c r="F766" s="87"/>
    </row>
    <row r="767">
      <c r="C767" s="87"/>
      <c r="F767" s="87"/>
    </row>
    <row r="768">
      <c r="C768" s="87"/>
      <c r="F768" s="87"/>
    </row>
    <row r="769">
      <c r="C769" s="87"/>
      <c r="F769" s="87"/>
    </row>
    <row r="770">
      <c r="C770" s="87"/>
      <c r="F770" s="87"/>
    </row>
    <row r="771">
      <c r="C771" s="87"/>
      <c r="F771" s="87"/>
    </row>
    <row r="772">
      <c r="C772" s="87"/>
      <c r="F772" s="87"/>
    </row>
    <row r="773">
      <c r="C773" s="87"/>
      <c r="F773" s="87"/>
    </row>
    <row r="774">
      <c r="C774" s="87"/>
      <c r="F774" s="87"/>
    </row>
    <row r="775">
      <c r="C775" s="87"/>
      <c r="F775" s="87"/>
    </row>
    <row r="776">
      <c r="C776" s="87"/>
      <c r="F776" s="87"/>
    </row>
    <row r="777">
      <c r="C777" s="87"/>
      <c r="F777" s="87"/>
    </row>
    <row r="778">
      <c r="C778" s="87"/>
      <c r="F778" s="87"/>
    </row>
    <row r="779">
      <c r="C779" s="87"/>
      <c r="F779" s="87"/>
    </row>
    <row r="780">
      <c r="C780" s="87"/>
      <c r="F780" s="87"/>
    </row>
    <row r="781">
      <c r="C781" s="87"/>
      <c r="F781" s="87"/>
    </row>
    <row r="782">
      <c r="C782" s="87"/>
      <c r="F782" s="87"/>
    </row>
    <row r="783">
      <c r="C783" s="87"/>
      <c r="F783" s="87"/>
    </row>
    <row r="784">
      <c r="C784" s="87"/>
      <c r="F784" s="87"/>
    </row>
    <row r="785">
      <c r="C785" s="87"/>
      <c r="F785" s="87"/>
    </row>
    <row r="786">
      <c r="C786" s="87"/>
      <c r="F786" s="87"/>
    </row>
    <row r="787">
      <c r="C787" s="87"/>
      <c r="F787" s="87"/>
    </row>
    <row r="788">
      <c r="C788" s="87"/>
      <c r="F788" s="87"/>
    </row>
    <row r="789">
      <c r="C789" s="87"/>
      <c r="F789" s="87"/>
    </row>
    <row r="790">
      <c r="C790" s="87"/>
      <c r="F790" s="87"/>
    </row>
    <row r="791">
      <c r="C791" s="87"/>
      <c r="F791" s="87"/>
    </row>
    <row r="792">
      <c r="C792" s="87"/>
      <c r="F792" s="87"/>
    </row>
    <row r="793">
      <c r="C793" s="87"/>
      <c r="F793" s="87"/>
    </row>
    <row r="794">
      <c r="C794" s="87"/>
      <c r="F794" s="87"/>
    </row>
    <row r="795">
      <c r="C795" s="87"/>
      <c r="F795" s="87"/>
    </row>
    <row r="796">
      <c r="C796" s="87"/>
      <c r="F796" s="87"/>
    </row>
    <row r="797">
      <c r="C797" s="87"/>
      <c r="F797" s="87"/>
    </row>
    <row r="798">
      <c r="C798" s="87"/>
      <c r="F798" s="87"/>
    </row>
    <row r="799">
      <c r="C799" s="87"/>
      <c r="F799" s="87"/>
    </row>
    <row r="800">
      <c r="C800" s="87"/>
      <c r="F800" s="87"/>
    </row>
    <row r="801">
      <c r="C801" s="87"/>
      <c r="F801" s="87"/>
    </row>
    <row r="802">
      <c r="C802" s="87"/>
      <c r="F802" s="87"/>
    </row>
    <row r="803">
      <c r="C803" s="87"/>
      <c r="F803" s="87"/>
    </row>
    <row r="804">
      <c r="C804" s="87"/>
      <c r="F804" s="87"/>
    </row>
    <row r="805">
      <c r="C805" s="87"/>
      <c r="F805" s="87"/>
    </row>
    <row r="806">
      <c r="C806" s="87"/>
      <c r="F806" s="87"/>
    </row>
    <row r="807">
      <c r="C807" s="87"/>
      <c r="F807" s="87"/>
    </row>
    <row r="808">
      <c r="C808" s="87"/>
      <c r="F808" s="87"/>
    </row>
    <row r="809">
      <c r="C809" s="87"/>
      <c r="F809" s="87"/>
    </row>
    <row r="810">
      <c r="C810" s="87"/>
      <c r="F810" s="87"/>
    </row>
    <row r="811">
      <c r="C811" s="87"/>
      <c r="F811" s="87"/>
    </row>
    <row r="812">
      <c r="C812" s="87"/>
      <c r="F812" s="87"/>
    </row>
    <row r="813">
      <c r="C813" s="87"/>
      <c r="F813" s="87"/>
    </row>
    <row r="814">
      <c r="C814" s="87"/>
      <c r="F814" s="87"/>
    </row>
    <row r="815">
      <c r="C815" s="87"/>
      <c r="F815" s="87"/>
    </row>
    <row r="816">
      <c r="C816" s="87"/>
      <c r="F816" s="87"/>
    </row>
    <row r="817">
      <c r="C817" s="87"/>
      <c r="F817" s="87"/>
    </row>
    <row r="818">
      <c r="C818" s="87"/>
      <c r="F818" s="87"/>
    </row>
    <row r="819">
      <c r="C819" s="87"/>
      <c r="F819" s="87"/>
    </row>
    <row r="820">
      <c r="C820" s="87"/>
      <c r="F820" s="87"/>
    </row>
    <row r="821">
      <c r="C821" s="87"/>
      <c r="F821" s="87"/>
    </row>
    <row r="822">
      <c r="C822" s="87"/>
      <c r="F822" s="87"/>
    </row>
    <row r="823">
      <c r="C823" s="87"/>
      <c r="F823" s="87"/>
    </row>
    <row r="824">
      <c r="C824" s="87"/>
      <c r="F824" s="87"/>
    </row>
    <row r="825">
      <c r="C825" s="87"/>
      <c r="F825" s="87"/>
    </row>
    <row r="826">
      <c r="C826" s="87"/>
      <c r="F826" s="87"/>
    </row>
    <row r="827">
      <c r="C827" s="87"/>
      <c r="F827" s="87"/>
    </row>
    <row r="828">
      <c r="C828" s="87"/>
      <c r="F828" s="87"/>
    </row>
    <row r="829">
      <c r="C829" s="87"/>
      <c r="F829" s="87"/>
    </row>
    <row r="830">
      <c r="C830" s="87"/>
      <c r="F830" s="87"/>
    </row>
    <row r="831">
      <c r="C831" s="87"/>
      <c r="F831" s="87"/>
    </row>
    <row r="832">
      <c r="C832" s="87"/>
      <c r="F832" s="87"/>
    </row>
    <row r="833">
      <c r="C833" s="87"/>
      <c r="F833" s="87"/>
    </row>
    <row r="834">
      <c r="C834" s="87"/>
      <c r="F834" s="87"/>
    </row>
    <row r="835">
      <c r="C835" s="87"/>
      <c r="F835" s="87"/>
    </row>
    <row r="836">
      <c r="C836" s="87"/>
      <c r="F836" s="87"/>
    </row>
    <row r="837">
      <c r="C837" s="87"/>
      <c r="F837" s="87"/>
    </row>
    <row r="838">
      <c r="C838" s="87"/>
      <c r="F838" s="87"/>
    </row>
    <row r="839">
      <c r="C839" s="87"/>
      <c r="F839" s="87"/>
    </row>
    <row r="840">
      <c r="C840" s="87"/>
      <c r="F840" s="87"/>
    </row>
    <row r="841">
      <c r="C841" s="87"/>
      <c r="F841" s="87"/>
    </row>
    <row r="842">
      <c r="C842" s="87"/>
      <c r="F842" s="87"/>
    </row>
    <row r="843">
      <c r="C843" s="87"/>
      <c r="F843" s="87"/>
    </row>
    <row r="844">
      <c r="C844" s="87"/>
      <c r="F844" s="87"/>
    </row>
    <row r="845">
      <c r="C845" s="87"/>
      <c r="F845" s="87"/>
    </row>
    <row r="846">
      <c r="C846" s="87"/>
      <c r="F846" s="87"/>
    </row>
    <row r="847">
      <c r="C847" s="87"/>
      <c r="F847" s="87"/>
    </row>
    <row r="848">
      <c r="C848" s="87"/>
      <c r="F848" s="87"/>
    </row>
    <row r="849">
      <c r="C849" s="87"/>
      <c r="F849" s="87"/>
    </row>
    <row r="850">
      <c r="C850" s="87"/>
      <c r="F850" s="87"/>
    </row>
    <row r="851">
      <c r="C851" s="87"/>
      <c r="F851" s="87"/>
    </row>
    <row r="852">
      <c r="C852" s="87"/>
      <c r="F852" s="87"/>
    </row>
    <row r="853">
      <c r="C853" s="87"/>
      <c r="F853" s="87"/>
    </row>
    <row r="854">
      <c r="C854" s="87"/>
      <c r="F854" s="87"/>
    </row>
    <row r="855">
      <c r="C855" s="87"/>
      <c r="F855" s="87"/>
    </row>
    <row r="856">
      <c r="C856" s="87"/>
      <c r="F856" s="87"/>
    </row>
    <row r="857">
      <c r="C857" s="87"/>
      <c r="F857" s="87"/>
    </row>
    <row r="858">
      <c r="C858" s="87"/>
      <c r="F858" s="87"/>
    </row>
    <row r="859">
      <c r="C859" s="87"/>
      <c r="F859" s="87"/>
    </row>
    <row r="860">
      <c r="C860" s="87"/>
      <c r="F860" s="87"/>
    </row>
    <row r="861">
      <c r="C861" s="87"/>
      <c r="F861" s="87"/>
    </row>
    <row r="862">
      <c r="C862" s="87"/>
      <c r="F862" s="87"/>
    </row>
    <row r="863">
      <c r="C863" s="87"/>
      <c r="F863" s="87"/>
    </row>
    <row r="864">
      <c r="C864" s="87"/>
      <c r="F864" s="87"/>
    </row>
    <row r="865">
      <c r="C865" s="87"/>
      <c r="F865" s="87"/>
    </row>
    <row r="866">
      <c r="C866" s="87"/>
      <c r="F866" s="87"/>
    </row>
    <row r="867">
      <c r="C867" s="87"/>
      <c r="F867" s="87"/>
    </row>
    <row r="868">
      <c r="C868" s="87"/>
      <c r="F868" s="87"/>
    </row>
    <row r="869">
      <c r="C869" s="87"/>
      <c r="F869" s="87"/>
    </row>
    <row r="870">
      <c r="C870" s="87"/>
      <c r="F870" s="87"/>
    </row>
    <row r="871">
      <c r="C871" s="87"/>
      <c r="F871" s="87"/>
    </row>
    <row r="872">
      <c r="C872" s="87"/>
      <c r="F872" s="87"/>
    </row>
    <row r="873">
      <c r="C873" s="87"/>
      <c r="F873" s="87"/>
    </row>
    <row r="874">
      <c r="C874" s="87"/>
      <c r="F874" s="87"/>
    </row>
    <row r="875">
      <c r="C875" s="87"/>
      <c r="F875" s="87"/>
    </row>
    <row r="876">
      <c r="C876" s="87"/>
      <c r="F876" s="87"/>
    </row>
    <row r="877">
      <c r="C877" s="87"/>
      <c r="F877" s="87"/>
    </row>
    <row r="878">
      <c r="C878" s="87"/>
      <c r="F878" s="87"/>
    </row>
    <row r="879">
      <c r="C879" s="87"/>
      <c r="F879" s="87"/>
    </row>
    <row r="880">
      <c r="C880" s="87"/>
      <c r="F880" s="87"/>
    </row>
    <row r="881">
      <c r="C881" s="87"/>
      <c r="F881" s="87"/>
    </row>
    <row r="882">
      <c r="C882" s="87"/>
      <c r="F882" s="87"/>
    </row>
    <row r="883">
      <c r="C883" s="87"/>
      <c r="F883" s="87"/>
    </row>
    <row r="884">
      <c r="C884" s="87"/>
      <c r="F884" s="87"/>
    </row>
    <row r="885">
      <c r="C885" s="87"/>
      <c r="F885" s="87"/>
    </row>
    <row r="886">
      <c r="C886" s="87"/>
      <c r="F886" s="87"/>
    </row>
    <row r="887">
      <c r="C887" s="87"/>
      <c r="F887" s="87"/>
    </row>
    <row r="888">
      <c r="C888" s="87"/>
      <c r="F888" s="87"/>
    </row>
    <row r="889">
      <c r="C889" s="87"/>
      <c r="F889" s="87"/>
    </row>
    <row r="890">
      <c r="C890" s="87"/>
      <c r="F890" s="87"/>
    </row>
    <row r="891">
      <c r="C891" s="87"/>
      <c r="F891" s="87"/>
    </row>
    <row r="892">
      <c r="C892" s="87"/>
      <c r="F892" s="87"/>
    </row>
    <row r="893">
      <c r="C893" s="87"/>
      <c r="F893" s="87"/>
    </row>
    <row r="894">
      <c r="C894" s="87"/>
      <c r="F894" s="87"/>
    </row>
    <row r="895">
      <c r="C895" s="87"/>
      <c r="F895" s="87"/>
    </row>
    <row r="896">
      <c r="C896" s="87"/>
      <c r="F896" s="87"/>
    </row>
    <row r="897">
      <c r="C897" s="87"/>
      <c r="F897" s="87"/>
    </row>
    <row r="898">
      <c r="C898" s="87"/>
      <c r="F898" s="87"/>
    </row>
    <row r="899">
      <c r="C899" s="87"/>
      <c r="F899" s="87"/>
    </row>
    <row r="900">
      <c r="C900" s="87"/>
      <c r="F900" s="87"/>
    </row>
    <row r="901">
      <c r="C901" s="87"/>
      <c r="F901" s="87"/>
    </row>
    <row r="902">
      <c r="C902" s="87"/>
      <c r="F902" s="87"/>
    </row>
    <row r="903">
      <c r="C903" s="87"/>
      <c r="F903" s="87"/>
    </row>
    <row r="904">
      <c r="C904" s="87"/>
      <c r="F904" s="87"/>
    </row>
    <row r="905">
      <c r="C905" s="87"/>
      <c r="F905" s="87"/>
    </row>
    <row r="906">
      <c r="C906" s="87"/>
      <c r="F906" s="87"/>
    </row>
    <row r="907">
      <c r="C907" s="87"/>
      <c r="F907" s="87"/>
    </row>
    <row r="908">
      <c r="C908" s="87"/>
      <c r="F908" s="87"/>
    </row>
    <row r="909">
      <c r="C909" s="87"/>
      <c r="F909" s="87"/>
    </row>
    <row r="910">
      <c r="C910" s="87"/>
      <c r="F910" s="87"/>
    </row>
    <row r="911">
      <c r="C911" s="87"/>
      <c r="F911" s="87"/>
    </row>
    <row r="912">
      <c r="C912" s="87"/>
      <c r="F912" s="87"/>
    </row>
    <row r="913">
      <c r="C913" s="87"/>
      <c r="F913" s="87"/>
    </row>
    <row r="914">
      <c r="C914" s="87"/>
      <c r="F914" s="87"/>
    </row>
    <row r="915">
      <c r="C915" s="87"/>
      <c r="F915" s="87"/>
    </row>
    <row r="916">
      <c r="C916" s="87"/>
      <c r="F916" s="87"/>
    </row>
    <row r="917">
      <c r="C917" s="87"/>
      <c r="F917" s="87"/>
    </row>
    <row r="918">
      <c r="C918" s="87"/>
      <c r="F918" s="87"/>
    </row>
    <row r="919">
      <c r="C919" s="87"/>
      <c r="F919" s="87"/>
    </row>
    <row r="920">
      <c r="C920" s="87"/>
      <c r="F920" s="87"/>
    </row>
    <row r="921">
      <c r="C921" s="87"/>
      <c r="F921" s="87"/>
    </row>
    <row r="922">
      <c r="C922" s="87"/>
      <c r="F922" s="87"/>
    </row>
    <row r="923">
      <c r="C923" s="87"/>
      <c r="F923" s="87"/>
    </row>
    <row r="924">
      <c r="C924" s="87"/>
      <c r="F924" s="87"/>
    </row>
    <row r="925">
      <c r="C925" s="87"/>
      <c r="F925" s="87"/>
    </row>
    <row r="926">
      <c r="C926" s="87"/>
      <c r="F926" s="87"/>
    </row>
    <row r="927">
      <c r="C927" s="87"/>
      <c r="F927" s="87"/>
    </row>
    <row r="928">
      <c r="C928" s="87"/>
      <c r="F928" s="87"/>
    </row>
    <row r="929">
      <c r="C929" s="87"/>
      <c r="F929" s="87"/>
    </row>
    <row r="930">
      <c r="C930" s="87"/>
      <c r="F930" s="87"/>
    </row>
    <row r="931">
      <c r="C931" s="87"/>
      <c r="F931" s="87"/>
    </row>
    <row r="932">
      <c r="C932" s="87"/>
      <c r="F932" s="87"/>
    </row>
    <row r="933">
      <c r="C933" s="87"/>
      <c r="F933" s="87"/>
    </row>
    <row r="934">
      <c r="C934" s="87"/>
      <c r="F934" s="87"/>
    </row>
    <row r="935">
      <c r="C935" s="87"/>
      <c r="F935" s="87"/>
    </row>
    <row r="936">
      <c r="C936" s="87"/>
      <c r="F936" s="87"/>
    </row>
    <row r="937">
      <c r="C937" s="87"/>
      <c r="F937" s="87"/>
    </row>
    <row r="938">
      <c r="C938" s="87"/>
      <c r="F938" s="87"/>
    </row>
    <row r="939">
      <c r="C939" s="87"/>
      <c r="F939" s="87"/>
    </row>
    <row r="940">
      <c r="C940" s="87"/>
      <c r="F940" s="87"/>
    </row>
    <row r="941">
      <c r="C941" s="87"/>
      <c r="F941" s="87"/>
    </row>
    <row r="942">
      <c r="C942" s="87"/>
      <c r="F942" s="87"/>
    </row>
    <row r="943">
      <c r="C943" s="87"/>
      <c r="F943" s="87"/>
    </row>
    <row r="944">
      <c r="C944" s="87"/>
      <c r="F944" s="87"/>
    </row>
    <row r="945">
      <c r="C945" s="87"/>
      <c r="F945" s="87"/>
    </row>
    <row r="946">
      <c r="C946" s="87"/>
      <c r="F946" s="87"/>
    </row>
    <row r="947">
      <c r="C947" s="87"/>
      <c r="F947" s="87"/>
    </row>
    <row r="948">
      <c r="C948" s="87"/>
      <c r="F948" s="87"/>
    </row>
    <row r="949">
      <c r="C949" s="87"/>
      <c r="F949" s="87"/>
    </row>
    <row r="950">
      <c r="C950" s="87"/>
      <c r="F950" s="87"/>
    </row>
    <row r="951">
      <c r="C951" s="87"/>
      <c r="F951" s="87"/>
    </row>
    <row r="952">
      <c r="C952" s="87"/>
      <c r="F952" s="87"/>
    </row>
    <row r="953">
      <c r="C953" s="87"/>
      <c r="F953" s="87"/>
    </row>
    <row r="954">
      <c r="C954" s="87"/>
      <c r="F954" s="87"/>
    </row>
    <row r="955">
      <c r="C955" s="87"/>
      <c r="F955" s="87"/>
    </row>
    <row r="956">
      <c r="C956" s="87"/>
      <c r="F956" s="87"/>
    </row>
    <row r="957">
      <c r="C957" s="87"/>
      <c r="F957" s="87"/>
    </row>
    <row r="958">
      <c r="C958" s="87"/>
      <c r="F958" s="87"/>
    </row>
    <row r="959">
      <c r="C959" s="87"/>
      <c r="F959" s="87"/>
    </row>
    <row r="960">
      <c r="C960" s="87"/>
      <c r="F960" s="87"/>
    </row>
    <row r="961">
      <c r="C961" s="87"/>
      <c r="F961" s="87"/>
    </row>
    <row r="962">
      <c r="C962" s="87"/>
      <c r="F962" s="87"/>
    </row>
    <row r="963">
      <c r="C963" s="87"/>
      <c r="F963" s="87"/>
    </row>
    <row r="964">
      <c r="C964" s="87"/>
      <c r="F964" s="87"/>
    </row>
    <row r="965">
      <c r="C965" s="87"/>
      <c r="F965" s="87"/>
    </row>
    <row r="966">
      <c r="C966" s="87"/>
      <c r="F966" s="87"/>
    </row>
    <row r="967">
      <c r="C967" s="87"/>
      <c r="F967" s="87"/>
    </row>
    <row r="968">
      <c r="C968" s="87"/>
      <c r="F968" s="87"/>
    </row>
    <row r="969">
      <c r="C969" s="87"/>
      <c r="F969" s="87"/>
    </row>
    <row r="970">
      <c r="C970" s="87"/>
      <c r="F970" s="87"/>
    </row>
    <row r="971">
      <c r="C971" s="87"/>
      <c r="F971" s="87"/>
    </row>
    <row r="972">
      <c r="C972" s="87"/>
      <c r="F972" s="87"/>
    </row>
    <row r="973">
      <c r="C973" s="87"/>
      <c r="F973" s="87"/>
    </row>
    <row r="974">
      <c r="C974" s="87"/>
      <c r="F974" s="87"/>
    </row>
    <row r="975">
      <c r="C975" s="87"/>
      <c r="F975" s="87"/>
    </row>
    <row r="976">
      <c r="C976" s="87"/>
      <c r="F976" s="87"/>
    </row>
    <row r="977">
      <c r="C977" s="87"/>
      <c r="F977" s="87"/>
    </row>
    <row r="978">
      <c r="C978" s="87"/>
      <c r="F978" s="87"/>
    </row>
    <row r="979">
      <c r="C979" s="87"/>
      <c r="F979" s="87"/>
    </row>
    <row r="980">
      <c r="C980" s="87"/>
      <c r="F980" s="87"/>
    </row>
    <row r="981">
      <c r="C981" s="87"/>
      <c r="F981" s="87"/>
    </row>
    <row r="982">
      <c r="C982" s="87"/>
      <c r="F982" s="87"/>
    </row>
    <row r="983">
      <c r="C983" s="87"/>
      <c r="F983" s="87"/>
    </row>
    <row r="984">
      <c r="C984" s="87"/>
      <c r="F984" s="87"/>
    </row>
    <row r="985">
      <c r="C985" s="87"/>
      <c r="F985" s="87"/>
    </row>
    <row r="986">
      <c r="C986" s="87"/>
      <c r="F986" s="87"/>
    </row>
    <row r="987">
      <c r="C987" s="87"/>
      <c r="F987" s="87"/>
    </row>
    <row r="988">
      <c r="C988" s="87"/>
      <c r="F988" s="87"/>
    </row>
    <row r="989">
      <c r="C989" s="87"/>
      <c r="F989" s="87"/>
    </row>
    <row r="990">
      <c r="C990" s="87"/>
      <c r="F990" s="87"/>
    </row>
    <row r="991">
      <c r="C991" s="87"/>
      <c r="F991" s="87"/>
    </row>
    <row r="992">
      <c r="C992" s="87"/>
      <c r="F992" s="87"/>
    </row>
    <row r="993">
      <c r="C993" s="87"/>
      <c r="F993" s="87"/>
    </row>
    <row r="994">
      <c r="C994" s="87"/>
      <c r="F994" s="87"/>
    </row>
    <row r="995">
      <c r="C995" s="87"/>
      <c r="F995" s="87"/>
    </row>
    <row r="996">
      <c r="C996" s="87"/>
      <c r="F996" s="87"/>
    </row>
    <row r="997">
      <c r="C997" s="87"/>
      <c r="F997" s="87"/>
    </row>
    <row r="998">
      <c r="C998" s="87"/>
      <c r="F998" s="87"/>
    </row>
    <row r="999">
      <c r="C999" s="87"/>
      <c r="F999" s="87"/>
    </row>
    <row r="1000">
      <c r="C1000" s="87"/>
      <c r="F1000" s="87"/>
    </row>
  </sheetData>
  <dataValidations>
    <dataValidation type="list" allowBlank="1" showErrorMessage="1" sqref="D3">
      <formula1>'Лист1 (копия)'!$C:$C</formula1>
    </dataValidation>
    <dataValidation type="list" allowBlank="1" showErrorMessage="1" sqref="G3">
      <formula1>'Лист1 (копия)'!$F:$F</formula1>
    </dataValidation>
    <dataValidation type="list" allowBlank="1" showErrorMessage="1" sqref="A3">
      <formula1>"Фокус на благополучателе,Фокус на секторе,Фокус на социокультурных благах"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3" max="3" width="14.0"/>
  </cols>
  <sheetData>
    <row r="1">
      <c r="A1" s="131" t="s">
        <v>113</v>
      </c>
      <c r="B1" s="139" t="s">
        <v>199</v>
      </c>
      <c r="C1" s="146" t="s">
        <v>36</v>
      </c>
      <c r="D1" s="147" t="s">
        <v>200</v>
      </c>
      <c r="E1" s="44" t="s">
        <v>201</v>
      </c>
    </row>
    <row r="2">
      <c r="A2" s="131" t="s">
        <v>60</v>
      </c>
      <c r="B2" s="139" t="s">
        <v>50</v>
      </c>
      <c r="C2" s="52" t="s">
        <v>82</v>
      </c>
      <c r="D2" s="147" t="s">
        <v>180</v>
      </c>
      <c r="E2" s="44" t="s">
        <v>196</v>
      </c>
    </row>
    <row r="3">
      <c r="A3" s="131" t="s">
        <v>43</v>
      </c>
      <c r="B3" s="139" t="s">
        <v>62</v>
      </c>
      <c r="C3" s="52" t="s">
        <v>88</v>
      </c>
      <c r="D3" s="147" t="s">
        <v>179</v>
      </c>
      <c r="E3" s="44" t="s">
        <v>183</v>
      </c>
    </row>
    <row r="4">
      <c r="A4" s="131" t="s">
        <v>114</v>
      </c>
      <c r="B4" s="139"/>
      <c r="C4" s="52" t="s">
        <v>98</v>
      </c>
      <c r="D4" s="147"/>
      <c r="E4" s="44"/>
    </row>
    <row r="5">
      <c r="A5" s="131" t="s">
        <v>85</v>
      </c>
      <c r="B5" s="139"/>
      <c r="C5" s="52" t="s">
        <v>100</v>
      </c>
      <c r="D5" s="147"/>
      <c r="E5" s="44"/>
    </row>
    <row r="6">
      <c r="A6" s="131" t="s">
        <v>45</v>
      </c>
      <c r="B6" s="139"/>
      <c r="C6" s="52" t="s">
        <v>96</v>
      </c>
      <c r="D6" s="147"/>
      <c r="E6" s="44"/>
    </row>
    <row r="7">
      <c r="A7" s="131" t="s">
        <v>67</v>
      </c>
      <c r="B7" s="139"/>
      <c r="C7" s="52" t="s">
        <v>103</v>
      </c>
      <c r="D7" s="147"/>
      <c r="E7" s="44"/>
    </row>
    <row r="8">
      <c r="A8" s="131" t="s">
        <v>115</v>
      </c>
      <c r="B8" s="139"/>
      <c r="C8" s="52"/>
      <c r="D8" s="147"/>
      <c r="E8" s="44"/>
    </row>
    <row r="9">
      <c r="A9" s="131" t="s">
        <v>116</v>
      </c>
      <c r="B9" s="139"/>
      <c r="C9" s="52"/>
      <c r="D9" s="147"/>
      <c r="E9" s="44"/>
    </row>
    <row r="10">
      <c r="A10" s="131" t="s">
        <v>66</v>
      </c>
      <c r="B10" s="139"/>
      <c r="C10" s="52"/>
      <c r="D10" s="147"/>
      <c r="E10" s="44"/>
    </row>
    <row r="11">
      <c r="A11" s="131" t="s">
        <v>73</v>
      </c>
      <c r="B11" s="139"/>
      <c r="C11" s="52"/>
      <c r="D11" s="147"/>
      <c r="E11" s="44"/>
    </row>
    <row r="12">
      <c r="A12" s="131" t="s">
        <v>77</v>
      </c>
      <c r="B12" s="139"/>
      <c r="C12" s="52"/>
      <c r="D12" s="147"/>
      <c r="E12" s="44"/>
    </row>
    <row r="13">
      <c r="A13" s="131" t="s">
        <v>117</v>
      </c>
      <c r="B13" s="139"/>
      <c r="C13" s="52"/>
      <c r="D13" s="147"/>
      <c r="E13" s="44"/>
    </row>
    <row r="14">
      <c r="A14" s="131" t="s">
        <v>76</v>
      </c>
      <c r="B14" s="139"/>
      <c r="C14" s="52"/>
      <c r="D14" s="147"/>
      <c r="E14" s="44"/>
    </row>
    <row r="15">
      <c r="A15" s="131" t="s">
        <v>59</v>
      </c>
      <c r="B15" s="139"/>
      <c r="C15" s="52"/>
      <c r="D15" s="147"/>
      <c r="E15" s="44"/>
    </row>
    <row r="16">
      <c r="A16" s="131" t="s">
        <v>41</v>
      </c>
      <c r="B16" s="139"/>
      <c r="C16" s="52"/>
      <c r="D16" s="147"/>
      <c r="E16" s="44"/>
    </row>
    <row r="17">
      <c r="A17" s="131" t="s">
        <v>118</v>
      </c>
      <c r="B17" s="139"/>
      <c r="C17" s="52"/>
      <c r="D17" s="147"/>
      <c r="E17" s="44"/>
    </row>
    <row r="18">
      <c r="A18" s="131" t="s">
        <v>79</v>
      </c>
      <c r="B18" s="139"/>
      <c r="C18" s="52"/>
      <c r="D18" s="147"/>
      <c r="E18" s="44"/>
    </row>
    <row r="19">
      <c r="A19" s="131" t="s">
        <v>58</v>
      </c>
      <c r="B19" s="139"/>
      <c r="C19" s="52"/>
      <c r="D19" s="147"/>
      <c r="E19" s="44"/>
    </row>
    <row r="20">
      <c r="A20" s="148"/>
      <c r="B20" s="139"/>
      <c r="C20" s="52"/>
      <c r="D20" s="147"/>
      <c r="E20" s="44"/>
    </row>
    <row r="21">
      <c r="A21" s="148"/>
      <c r="B21" s="139"/>
      <c r="C21" s="52"/>
      <c r="D21" s="147"/>
      <c r="E21" s="44"/>
    </row>
    <row r="22">
      <c r="A22" s="148"/>
      <c r="B22" s="139"/>
      <c r="C22" s="52"/>
      <c r="D22" s="147"/>
      <c r="E22" s="44"/>
    </row>
    <row r="23">
      <c r="A23" s="148"/>
      <c r="B23" s="139"/>
      <c r="C23" s="52"/>
      <c r="D23" s="147"/>
      <c r="E23" s="44"/>
    </row>
    <row r="24">
      <c r="A24" s="148"/>
      <c r="B24" s="139"/>
      <c r="C24" s="52"/>
      <c r="D24" s="147"/>
      <c r="E24" s="44"/>
    </row>
    <row r="25">
      <c r="A25" s="148"/>
      <c r="B25" s="139"/>
      <c r="C25" s="52"/>
      <c r="D25" s="147"/>
      <c r="E25" s="44"/>
    </row>
    <row r="26">
      <c r="A26" s="148"/>
      <c r="B26" s="139"/>
      <c r="C26" s="52"/>
      <c r="D26" s="147"/>
      <c r="E26" s="44"/>
    </row>
    <row r="27">
      <c r="A27" s="148"/>
      <c r="B27" s="139"/>
      <c r="C27" s="52"/>
      <c r="D27" s="147"/>
      <c r="E27" s="44"/>
    </row>
    <row r="28">
      <c r="A28" s="148"/>
      <c r="B28" s="139"/>
      <c r="C28" s="52"/>
      <c r="D28" s="147"/>
      <c r="E28" s="44"/>
    </row>
    <row r="29">
      <c r="A29" s="148"/>
      <c r="B29" s="139"/>
      <c r="C29" s="52"/>
      <c r="D29" s="147"/>
      <c r="E29" s="44"/>
    </row>
    <row r="30">
      <c r="A30" s="148"/>
      <c r="B30" s="139"/>
      <c r="C30" s="52"/>
      <c r="D30" s="147"/>
      <c r="E30" s="44"/>
    </row>
    <row r="31">
      <c r="A31" s="148"/>
      <c r="B31" s="139"/>
      <c r="C31" s="52"/>
      <c r="D31" s="147"/>
      <c r="E31" s="44"/>
    </row>
    <row r="32">
      <c r="A32" s="148"/>
      <c r="B32" s="139"/>
      <c r="C32" s="52"/>
      <c r="D32" s="147"/>
      <c r="E32" s="44"/>
    </row>
    <row r="33">
      <c r="A33" s="148"/>
      <c r="B33" s="139"/>
      <c r="C33" s="52"/>
      <c r="D33" s="147"/>
      <c r="E33" s="44"/>
    </row>
    <row r="34">
      <c r="A34" s="148"/>
      <c r="B34" s="139"/>
      <c r="C34" s="52"/>
      <c r="D34" s="147"/>
      <c r="E34" s="44"/>
    </row>
    <row r="35">
      <c r="A35" s="148"/>
      <c r="B35" s="139"/>
      <c r="C35" s="52"/>
      <c r="D35" s="147"/>
      <c r="E35" s="44"/>
    </row>
    <row r="36">
      <c r="A36" s="148"/>
      <c r="B36" s="139"/>
      <c r="C36" s="52"/>
      <c r="D36" s="147"/>
      <c r="E36" s="44"/>
    </row>
    <row r="37">
      <c r="A37" s="148"/>
      <c r="B37" s="139"/>
      <c r="C37" s="52"/>
      <c r="D37" s="147"/>
      <c r="E37" s="44"/>
    </row>
    <row r="38">
      <c r="A38" s="148"/>
      <c r="B38" s="139"/>
      <c r="C38" s="52"/>
      <c r="D38" s="147"/>
      <c r="E38" s="44"/>
    </row>
    <row r="39">
      <c r="A39" s="148"/>
      <c r="B39" s="139"/>
      <c r="C39" s="52"/>
      <c r="D39" s="147"/>
      <c r="E39" s="44"/>
    </row>
    <row r="40">
      <c r="A40" s="148"/>
      <c r="B40" s="139"/>
      <c r="C40" s="52"/>
      <c r="D40" s="147"/>
      <c r="E40" s="44"/>
    </row>
    <row r="41">
      <c r="A41" s="148"/>
      <c r="B41" s="139"/>
      <c r="C41" s="52"/>
      <c r="D41" s="147"/>
      <c r="E41" s="44"/>
    </row>
    <row r="42">
      <c r="A42" s="148"/>
      <c r="B42" s="139"/>
      <c r="C42" s="52"/>
      <c r="D42" s="147"/>
      <c r="E42" s="44"/>
    </row>
    <row r="43">
      <c r="A43" s="148"/>
      <c r="B43" s="139"/>
      <c r="C43" s="52"/>
      <c r="D43" s="147"/>
      <c r="E43" s="44"/>
    </row>
    <row r="44">
      <c r="A44" s="148"/>
      <c r="B44" s="139"/>
      <c r="C44" s="52"/>
      <c r="D44" s="147"/>
      <c r="E44" s="44"/>
    </row>
    <row r="45">
      <c r="A45" s="148"/>
      <c r="B45" s="139"/>
      <c r="C45" s="52"/>
      <c r="D45" s="147"/>
      <c r="E45" s="44"/>
    </row>
    <row r="46">
      <c r="A46" s="148"/>
      <c r="B46" s="139"/>
      <c r="C46" s="52"/>
      <c r="D46" s="147"/>
      <c r="E46" s="44"/>
    </row>
    <row r="47">
      <c r="A47" s="148"/>
      <c r="B47" s="139"/>
      <c r="C47" s="52"/>
      <c r="D47" s="147"/>
      <c r="E47" s="44"/>
    </row>
    <row r="48">
      <c r="A48" s="148"/>
      <c r="B48" s="139"/>
      <c r="C48" s="52"/>
      <c r="D48" s="147"/>
      <c r="E48" s="44"/>
    </row>
    <row r="49">
      <c r="A49" s="148"/>
      <c r="B49" s="139"/>
      <c r="C49" s="52"/>
      <c r="D49" s="147"/>
      <c r="E49" s="44"/>
    </row>
    <row r="50">
      <c r="A50" s="148"/>
      <c r="B50" s="139"/>
      <c r="C50" s="52"/>
      <c r="D50" s="147"/>
      <c r="E50" s="44"/>
    </row>
    <row r="51">
      <c r="A51" s="148"/>
      <c r="B51" s="139"/>
      <c r="C51" s="52"/>
      <c r="D51" s="147"/>
      <c r="E51" s="44"/>
    </row>
    <row r="52">
      <c r="A52" s="148"/>
      <c r="B52" s="139"/>
      <c r="C52" s="52"/>
      <c r="D52" s="147"/>
      <c r="E52" s="44"/>
    </row>
    <row r="53">
      <c r="A53" s="148"/>
      <c r="B53" s="139"/>
      <c r="C53" s="52"/>
      <c r="D53" s="147"/>
      <c r="E53" s="44"/>
    </row>
    <row r="54">
      <c r="A54" s="148"/>
      <c r="B54" s="139"/>
      <c r="C54" s="52"/>
      <c r="D54" s="147"/>
      <c r="E54" s="44"/>
    </row>
    <row r="55">
      <c r="A55" s="148"/>
      <c r="B55" s="139"/>
      <c r="C55" s="52"/>
      <c r="D55" s="147"/>
      <c r="E55" s="44"/>
    </row>
    <row r="56">
      <c r="A56" s="148"/>
      <c r="B56" s="139"/>
      <c r="C56" s="52"/>
      <c r="D56" s="147"/>
      <c r="E56" s="44"/>
    </row>
    <row r="57">
      <c r="A57" s="148"/>
      <c r="B57" s="139"/>
      <c r="C57" s="52"/>
      <c r="D57" s="147"/>
      <c r="E57" s="44"/>
    </row>
    <row r="58">
      <c r="A58" s="148"/>
      <c r="B58" s="139"/>
      <c r="C58" s="52"/>
      <c r="D58" s="147"/>
      <c r="E58" s="44"/>
    </row>
    <row r="59">
      <c r="A59" s="148"/>
      <c r="B59" s="139"/>
      <c r="C59" s="52"/>
      <c r="D59" s="147"/>
      <c r="E59" s="44"/>
    </row>
    <row r="60">
      <c r="A60" s="148"/>
      <c r="B60" s="139"/>
      <c r="C60" s="52"/>
      <c r="D60" s="147"/>
      <c r="E60" s="44"/>
    </row>
    <row r="61">
      <c r="A61" s="148"/>
      <c r="B61" s="139"/>
      <c r="C61" s="52"/>
      <c r="D61" s="147"/>
      <c r="E61" s="44"/>
    </row>
    <row r="62">
      <c r="A62" s="148"/>
      <c r="B62" s="139"/>
      <c r="C62" s="52"/>
      <c r="D62" s="147"/>
      <c r="E62" s="44"/>
    </row>
    <row r="63">
      <c r="A63" s="148"/>
      <c r="B63" s="139"/>
      <c r="C63" s="52"/>
      <c r="D63" s="147"/>
      <c r="E63" s="44"/>
    </row>
    <row r="64">
      <c r="A64" s="148"/>
      <c r="B64" s="139"/>
      <c r="C64" s="52"/>
      <c r="D64" s="147"/>
      <c r="E64" s="44"/>
    </row>
    <row r="65">
      <c r="A65" s="148"/>
      <c r="B65" s="139"/>
      <c r="C65" s="52"/>
      <c r="D65" s="147"/>
      <c r="E65" s="44"/>
    </row>
    <row r="66">
      <c r="A66" s="148"/>
      <c r="B66" s="139"/>
      <c r="C66" s="52"/>
      <c r="D66" s="147"/>
      <c r="E66" s="44"/>
    </row>
    <row r="67">
      <c r="A67" s="148"/>
      <c r="B67" s="139"/>
      <c r="C67" s="52"/>
      <c r="D67" s="147"/>
      <c r="E67" s="44"/>
    </row>
    <row r="68">
      <c r="A68" s="148"/>
      <c r="B68" s="139"/>
      <c r="C68" s="52"/>
      <c r="D68" s="147"/>
      <c r="E68" s="44"/>
    </row>
    <row r="69">
      <c r="A69" s="148"/>
      <c r="B69" s="139"/>
      <c r="C69" s="52"/>
      <c r="D69" s="147"/>
      <c r="E69" s="44"/>
    </row>
    <row r="70">
      <c r="A70" s="148"/>
      <c r="B70" s="139"/>
      <c r="C70" s="52"/>
      <c r="D70" s="147"/>
      <c r="E70" s="44"/>
    </row>
    <row r="71">
      <c r="A71" s="148"/>
      <c r="B71" s="139"/>
      <c r="C71" s="52"/>
      <c r="D71" s="147"/>
      <c r="E71" s="44"/>
    </row>
    <row r="72">
      <c r="A72" s="148"/>
      <c r="B72" s="139"/>
      <c r="C72" s="52"/>
      <c r="D72" s="147"/>
      <c r="E72" s="44"/>
    </row>
    <row r="73">
      <c r="A73" s="148"/>
      <c r="B73" s="139"/>
      <c r="C73" s="52"/>
      <c r="D73" s="147"/>
      <c r="E73" s="44"/>
    </row>
    <row r="74">
      <c r="A74" s="148"/>
      <c r="B74" s="139"/>
      <c r="C74" s="52"/>
      <c r="D74" s="147"/>
      <c r="E74" s="44"/>
    </row>
    <row r="75">
      <c r="A75" s="148"/>
      <c r="B75" s="139"/>
      <c r="C75" s="52"/>
      <c r="D75" s="147"/>
      <c r="E75" s="44"/>
    </row>
    <row r="76">
      <c r="A76" s="148"/>
      <c r="B76" s="139"/>
      <c r="C76" s="52"/>
      <c r="D76" s="147"/>
      <c r="E76" s="44"/>
    </row>
    <row r="77">
      <c r="A77" s="148"/>
      <c r="B77" s="139"/>
      <c r="C77" s="52"/>
      <c r="D77" s="147"/>
      <c r="E77" s="44"/>
    </row>
    <row r="78">
      <c r="A78" s="148"/>
      <c r="B78" s="139"/>
      <c r="C78" s="52"/>
      <c r="D78" s="147"/>
      <c r="E78" s="44"/>
    </row>
    <row r="79">
      <c r="A79" s="148"/>
      <c r="B79" s="139"/>
      <c r="C79" s="52"/>
      <c r="D79" s="147"/>
      <c r="E79" s="44"/>
    </row>
    <row r="80">
      <c r="A80" s="148"/>
      <c r="B80" s="139"/>
      <c r="C80" s="52"/>
      <c r="D80" s="147"/>
      <c r="E80" s="44"/>
    </row>
    <row r="81">
      <c r="A81" s="148"/>
      <c r="B81" s="139"/>
      <c r="C81" s="52"/>
      <c r="D81" s="147"/>
      <c r="E81" s="44"/>
    </row>
    <row r="82">
      <c r="A82" s="148"/>
      <c r="B82" s="139"/>
      <c r="C82" s="52"/>
      <c r="D82" s="147"/>
      <c r="E82" s="44"/>
    </row>
    <row r="83">
      <c r="A83" s="148"/>
      <c r="B83" s="139"/>
      <c r="C83" s="52"/>
      <c r="D83" s="147"/>
      <c r="E83" s="44"/>
    </row>
    <row r="84">
      <c r="A84" s="148"/>
      <c r="B84" s="139"/>
      <c r="C84" s="52"/>
      <c r="D84" s="147"/>
      <c r="E84" s="44"/>
    </row>
    <row r="85">
      <c r="A85" s="148"/>
      <c r="B85" s="139"/>
      <c r="C85" s="52"/>
      <c r="D85" s="147"/>
      <c r="E85" s="44"/>
    </row>
    <row r="86">
      <c r="A86" s="148"/>
      <c r="B86" s="139"/>
      <c r="C86" s="52"/>
      <c r="D86" s="147"/>
      <c r="E86" s="44"/>
    </row>
    <row r="87">
      <c r="A87" s="148"/>
      <c r="B87" s="139"/>
      <c r="C87" s="52"/>
      <c r="D87" s="147"/>
      <c r="E87" s="44"/>
    </row>
    <row r="88">
      <c r="A88" s="148"/>
      <c r="B88" s="139"/>
      <c r="C88" s="52"/>
      <c r="D88" s="147"/>
      <c r="E88" s="44"/>
    </row>
    <row r="89">
      <c r="A89" s="148"/>
      <c r="B89" s="139"/>
      <c r="C89" s="52"/>
      <c r="D89" s="147"/>
      <c r="E89" s="44"/>
    </row>
    <row r="90">
      <c r="A90" s="148"/>
      <c r="B90" s="139"/>
      <c r="C90" s="52"/>
      <c r="D90" s="147"/>
      <c r="E90" s="44"/>
    </row>
    <row r="91">
      <c r="A91" s="148"/>
      <c r="B91" s="139"/>
      <c r="C91" s="52"/>
      <c r="D91" s="147"/>
      <c r="E91" s="44"/>
    </row>
    <row r="92">
      <c r="A92" s="148"/>
      <c r="B92" s="139"/>
      <c r="C92" s="52"/>
      <c r="D92" s="147"/>
      <c r="E92" s="44"/>
    </row>
    <row r="93">
      <c r="A93" s="148"/>
      <c r="B93" s="139"/>
      <c r="C93" s="52"/>
      <c r="D93" s="147"/>
      <c r="E93" s="44"/>
    </row>
    <row r="94">
      <c r="A94" s="148"/>
      <c r="B94" s="139"/>
      <c r="C94" s="52"/>
      <c r="D94" s="147"/>
      <c r="E94" s="44"/>
    </row>
    <row r="95">
      <c r="A95" s="148"/>
      <c r="B95" s="139"/>
      <c r="C95" s="52"/>
      <c r="D95" s="147"/>
      <c r="E95" s="44"/>
    </row>
    <row r="96">
      <c r="A96" s="148"/>
      <c r="B96" s="139"/>
      <c r="C96" s="52"/>
      <c r="D96" s="147"/>
      <c r="E96" s="44"/>
    </row>
    <row r="97">
      <c r="A97" s="148"/>
      <c r="B97" s="139"/>
      <c r="C97" s="52"/>
      <c r="D97" s="147"/>
      <c r="E97" s="44"/>
    </row>
    <row r="98">
      <c r="A98" s="148"/>
      <c r="B98" s="139"/>
      <c r="C98" s="52"/>
      <c r="D98" s="147"/>
      <c r="E98" s="44"/>
    </row>
    <row r="99">
      <c r="A99" s="148"/>
      <c r="B99" s="139"/>
      <c r="C99" s="52"/>
      <c r="D99" s="147"/>
      <c r="E99" s="44"/>
    </row>
    <row r="100">
      <c r="A100" s="148"/>
      <c r="B100" s="139"/>
      <c r="C100" s="52"/>
      <c r="D100" s="147"/>
      <c r="E100" s="44"/>
    </row>
    <row r="101">
      <c r="A101" s="148"/>
      <c r="B101" s="139"/>
      <c r="C101" s="52"/>
      <c r="D101" s="147"/>
      <c r="E101" s="44"/>
    </row>
    <row r="102">
      <c r="A102" s="148"/>
      <c r="B102" s="139"/>
      <c r="C102" s="52"/>
      <c r="D102" s="147"/>
      <c r="E102" s="44"/>
    </row>
    <row r="103">
      <c r="A103" s="148"/>
      <c r="B103" s="139"/>
      <c r="C103" s="52"/>
      <c r="D103" s="147"/>
      <c r="E103" s="44"/>
    </row>
    <row r="104">
      <c r="A104" s="148"/>
      <c r="B104" s="139"/>
      <c r="C104" s="52"/>
      <c r="D104" s="147"/>
      <c r="E104" s="44"/>
    </row>
    <row r="105">
      <c r="A105" s="148"/>
      <c r="B105" s="139"/>
      <c r="C105" s="52"/>
      <c r="D105" s="147"/>
      <c r="E105" s="44"/>
    </row>
    <row r="106">
      <c r="A106" s="148"/>
      <c r="B106" s="139"/>
      <c r="C106" s="52"/>
      <c r="D106" s="147"/>
      <c r="E106" s="44"/>
    </row>
    <row r="107">
      <c r="A107" s="148"/>
      <c r="B107" s="139"/>
      <c r="C107" s="52"/>
      <c r="D107" s="147"/>
      <c r="E107" s="44"/>
    </row>
    <row r="108">
      <c r="A108" s="148"/>
      <c r="B108" s="139"/>
      <c r="C108" s="52"/>
      <c r="D108" s="147"/>
      <c r="E108" s="44"/>
    </row>
    <row r="109">
      <c r="A109" s="148"/>
      <c r="B109" s="139"/>
      <c r="C109" s="52"/>
      <c r="D109" s="147"/>
      <c r="E109" s="44"/>
    </row>
    <row r="110">
      <c r="A110" s="148"/>
      <c r="B110" s="139"/>
      <c r="C110" s="52"/>
      <c r="D110" s="147"/>
      <c r="E110" s="44"/>
    </row>
    <row r="111">
      <c r="A111" s="148"/>
      <c r="B111" s="139"/>
      <c r="C111" s="52"/>
      <c r="D111" s="147"/>
      <c r="E111" s="44"/>
    </row>
    <row r="112">
      <c r="A112" s="148"/>
      <c r="B112" s="139"/>
      <c r="C112" s="52"/>
      <c r="D112" s="147"/>
      <c r="E112" s="44"/>
    </row>
    <row r="113">
      <c r="A113" s="148"/>
      <c r="B113" s="139"/>
      <c r="C113" s="52"/>
      <c r="D113" s="147"/>
      <c r="E113" s="44"/>
    </row>
    <row r="114">
      <c r="A114" s="148"/>
      <c r="B114" s="139"/>
      <c r="C114" s="52"/>
      <c r="D114" s="147"/>
      <c r="E114" s="44"/>
    </row>
    <row r="115">
      <c r="A115" s="148"/>
      <c r="B115" s="139"/>
      <c r="C115" s="52"/>
      <c r="D115" s="147"/>
      <c r="E115" s="44"/>
    </row>
    <row r="116">
      <c r="A116" s="148"/>
      <c r="B116" s="139"/>
      <c r="C116" s="52"/>
      <c r="D116" s="147"/>
      <c r="E116" s="44"/>
    </row>
    <row r="117">
      <c r="A117" s="148"/>
      <c r="B117" s="139"/>
      <c r="C117" s="52"/>
      <c r="D117" s="147"/>
      <c r="E117" s="44"/>
    </row>
    <row r="118">
      <c r="A118" s="148"/>
      <c r="B118" s="139"/>
      <c r="C118" s="52"/>
      <c r="D118" s="147"/>
      <c r="E118" s="44"/>
    </row>
    <row r="119">
      <c r="A119" s="148"/>
      <c r="B119" s="139"/>
      <c r="C119" s="52"/>
      <c r="D119" s="147"/>
      <c r="E119" s="44"/>
    </row>
    <row r="120">
      <c r="A120" s="148"/>
      <c r="B120" s="139"/>
      <c r="C120" s="52"/>
      <c r="D120" s="147"/>
      <c r="E120" s="44"/>
    </row>
    <row r="121">
      <c r="A121" s="148"/>
      <c r="B121" s="139"/>
      <c r="C121" s="52"/>
      <c r="D121" s="147"/>
      <c r="E121" s="44"/>
    </row>
    <row r="122">
      <c r="A122" s="148"/>
      <c r="B122" s="139"/>
      <c r="C122" s="52"/>
      <c r="D122" s="147"/>
      <c r="E122" s="44"/>
    </row>
    <row r="123">
      <c r="A123" s="148"/>
      <c r="B123" s="139"/>
      <c r="C123" s="52"/>
      <c r="D123" s="147"/>
      <c r="E123" s="44"/>
    </row>
    <row r="124">
      <c r="A124" s="148"/>
      <c r="B124" s="139"/>
      <c r="C124" s="52"/>
      <c r="D124" s="147"/>
      <c r="E124" s="44"/>
    </row>
    <row r="125">
      <c r="A125" s="148"/>
      <c r="B125" s="139"/>
      <c r="C125" s="52"/>
      <c r="D125" s="147"/>
      <c r="E125" s="44"/>
    </row>
    <row r="126">
      <c r="A126" s="148"/>
      <c r="B126" s="139"/>
      <c r="C126" s="52"/>
      <c r="D126" s="147"/>
      <c r="E126" s="44"/>
    </row>
    <row r="127">
      <c r="A127" s="148"/>
      <c r="B127" s="139"/>
      <c r="C127" s="52"/>
      <c r="D127" s="147"/>
      <c r="E127" s="44"/>
    </row>
    <row r="128">
      <c r="A128" s="148"/>
      <c r="B128" s="139"/>
      <c r="C128" s="52"/>
      <c r="D128" s="147"/>
      <c r="E128" s="44"/>
    </row>
    <row r="129">
      <c r="A129" s="148"/>
      <c r="B129" s="139"/>
      <c r="C129" s="52"/>
      <c r="D129" s="147"/>
      <c r="E129" s="44"/>
    </row>
    <row r="130">
      <c r="A130" s="148"/>
      <c r="B130" s="139"/>
      <c r="C130" s="52"/>
      <c r="D130" s="147"/>
      <c r="E130" s="44"/>
    </row>
    <row r="131">
      <c r="A131" s="148"/>
      <c r="B131" s="139"/>
      <c r="C131" s="52"/>
      <c r="D131" s="147"/>
      <c r="E131" s="44"/>
    </row>
    <row r="132">
      <c r="A132" s="148"/>
      <c r="B132" s="139"/>
      <c r="C132" s="52"/>
      <c r="D132" s="147"/>
      <c r="E132" s="44"/>
    </row>
    <row r="133">
      <c r="A133" s="148"/>
      <c r="B133" s="139"/>
      <c r="C133" s="52"/>
      <c r="D133" s="147"/>
      <c r="E133" s="44"/>
    </row>
    <row r="134">
      <c r="A134" s="148"/>
      <c r="B134" s="139"/>
      <c r="C134" s="52"/>
      <c r="D134" s="147"/>
      <c r="E134" s="44"/>
    </row>
    <row r="135">
      <c r="A135" s="148"/>
      <c r="B135" s="139"/>
      <c r="C135" s="52"/>
      <c r="D135" s="147"/>
      <c r="E135" s="44"/>
    </row>
    <row r="136">
      <c r="A136" s="148"/>
      <c r="B136" s="139"/>
      <c r="C136" s="52"/>
      <c r="D136" s="147"/>
      <c r="E136" s="44"/>
    </row>
    <row r="137">
      <c r="A137" s="148"/>
      <c r="B137" s="139"/>
      <c r="C137" s="52"/>
      <c r="D137" s="147"/>
      <c r="E137" s="44"/>
    </row>
    <row r="138">
      <c r="A138" s="148"/>
      <c r="B138" s="139"/>
      <c r="C138" s="52"/>
      <c r="D138" s="147"/>
      <c r="E138" s="44"/>
    </row>
    <row r="139">
      <c r="A139" s="148"/>
      <c r="B139" s="139"/>
      <c r="C139" s="52"/>
      <c r="D139" s="147"/>
      <c r="E139" s="44"/>
    </row>
    <row r="140">
      <c r="A140" s="148"/>
      <c r="B140" s="139"/>
      <c r="C140" s="52"/>
      <c r="D140" s="147"/>
      <c r="E140" s="44"/>
    </row>
    <row r="141">
      <c r="A141" s="148"/>
      <c r="B141" s="139"/>
      <c r="C141" s="52"/>
      <c r="D141" s="147"/>
      <c r="E141" s="44"/>
    </row>
    <row r="142">
      <c r="A142" s="148"/>
      <c r="B142" s="139"/>
      <c r="C142" s="52"/>
      <c r="D142" s="147"/>
      <c r="E142" s="44"/>
    </row>
    <row r="143">
      <c r="A143" s="148"/>
      <c r="B143" s="139"/>
      <c r="C143" s="52"/>
      <c r="D143" s="147"/>
      <c r="E143" s="44"/>
    </row>
    <row r="144">
      <c r="A144" s="148"/>
      <c r="B144" s="139"/>
      <c r="C144" s="52"/>
      <c r="D144" s="147"/>
      <c r="E144" s="44"/>
    </row>
    <row r="145">
      <c r="A145" s="148"/>
      <c r="B145" s="139"/>
      <c r="C145" s="52"/>
      <c r="D145" s="147"/>
      <c r="E145" s="44"/>
    </row>
    <row r="146">
      <c r="A146" s="148"/>
      <c r="B146" s="139"/>
      <c r="C146" s="52"/>
      <c r="D146" s="147"/>
      <c r="E146" s="44"/>
    </row>
    <row r="147">
      <c r="A147" s="148"/>
      <c r="B147" s="139"/>
      <c r="C147" s="52"/>
      <c r="D147" s="147"/>
      <c r="E147" s="44"/>
    </row>
    <row r="148">
      <c r="A148" s="148"/>
      <c r="B148" s="139"/>
      <c r="C148" s="52"/>
      <c r="D148" s="147"/>
      <c r="E148" s="44"/>
    </row>
    <row r="149">
      <c r="A149" s="148"/>
      <c r="B149" s="139"/>
      <c r="C149" s="52"/>
      <c r="D149" s="147"/>
      <c r="E149" s="44"/>
    </row>
    <row r="150">
      <c r="A150" s="148"/>
      <c r="B150" s="139"/>
      <c r="C150" s="52"/>
      <c r="D150" s="147"/>
      <c r="E150" s="44"/>
    </row>
    <row r="151">
      <c r="A151" s="148"/>
      <c r="B151" s="139"/>
      <c r="C151" s="52"/>
      <c r="D151" s="147"/>
      <c r="E151" s="44"/>
    </row>
    <row r="152">
      <c r="A152" s="148"/>
      <c r="B152" s="139"/>
      <c r="C152" s="52"/>
      <c r="D152" s="147"/>
      <c r="E152" s="44"/>
    </row>
    <row r="153">
      <c r="A153" s="148"/>
      <c r="B153" s="139"/>
      <c r="C153" s="52"/>
      <c r="D153" s="147"/>
      <c r="E153" s="44"/>
    </row>
    <row r="154">
      <c r="A154" s="148"/>
      <c r="B154" s="139"/>
      <c r="C154" s="52"/>
      <c r="D154" s="147"/>
      <c r="E154" s="44"/>
    </row>
    <row r="155">
      <c r="A155" s="148"/>
      <c r="B155" s="139"/>
      <c r="C155" s="52"/>
      <c r="D155" s="147"/>
      <c r="E155" s="44"/>
    </row>
    <row r="156">
      <c r="A156" s="148"/>
      <c r="B156" s="139"/>
      <c r="C156" s="52"/>
      <c r="D156" s="147"/>
      <c r="E156" s="44"/>
    </row>
    <row r="157">
      <c r="A157" s="148"/>
      <c r="B157" s="139"/>
      <c r="C157" s="52"/>
      <c r="D157" s="147"/>
      <c r="E157" s="44"/>
    </row>
    <row r="158">
      <c r="A158" s="148"/>
      <c r="B158" s="139"/>
      <c r="C158" s="52"/>
      <c r="D158" s="147"/>
      <c r="E158" s="44"/>
    </row>
    <row r="159">
      <c r="A159" s="148"/>
      <c r="B159" s="139"/>
      <c r="C159" s="52"/>
      <c r="D159" s="147"/>
      <c r="E159" s="44"/>
    </row>
    <row r="160">
      <c r="A160" s="148"/>
      <c r="B160" s="139"/>
      <c r="C160" s="52"/>
      <c r="D160" s="147"/>
      <c r="E160" s="44"/>
    </row>
    <row r="161">
      <c r="A161" s="148"/>
      <c r="B161" s="139"/>
      <c r="C161" s="52"/>
      <c r="D161" s="147"/>
      <c r="E161" s="44"/>
    </row>
    <row r="162">
      <c r="A162" s="148"/>
      <c r="B162" s="139"/>
      <c r="C162" s="52"/>
      <c r="D162" s="147"/>
      <c r="E162" s="44"/>
    </row>
    <row r="163">
      <c r="A163" s="148"/>
      <c r="B163" s="139"/>
      <c r="C163" s="52"/>
      <c r="D163" s="147"/>
      <c r="E163" s="44"/>
    </row>
    <row r="164">
      <c r="A164" s="148"/>
      <c r="B164" s="139"/>
      <c r="C164" s="52"/>
      <c r="D164" s="147"/>
      <c r="E164" s="44"/>
    </row>
    <row r="165">
      <c r="A165" s="148"/>
      <c r="B165" s="139"/>
      <c r="C165" s="52"/>
      <c r="D165" s="147"/>
      <c r="E165" s="44"/>
    </row>
    <row r="166">
      <c r="A166" s="148"/>
      <c r="B166" s="139"/>
      <c r="C166" s="52"/>
      <c r="D166" s="147"/>
      <c r="E166" s="44"/>
    </row>
    <row r="167">
      <c r="A167" s="148"/>
      <c r="B167" s="139"/>
      <c r="C167" s="52"/>
      <c r="D167" s="147"/>
      <c r="E167" s="44"/>
    </row>
    <row r="168">
      <c r="A168" s="148"/>
      <c r="B168" s="139"/>
      <c r="C168" s="52"/>
      <c r="D168" s="147"/>
      <c r="E168" s="44"/>
    </row>
    <row r="169">
      <c r="A169" s="148"/>
      <c r="B169" s="139"/>
      <c r="C169" s="52"/>
      <c r="D169" s="147"/>
      <c r="E169" s="44"/>
    </row>
    <row r="170">
      <c r="A170" s="148"/>
      <c r="B170" s="139"/>
      <c r="C170" s="52"/>
      <c r="D170" s="147"/>
      <c r="E170" s="44"/>
    </row>
    <row r="171">
      <c r="A171" s="148"/>
      <c r="B171" s="139"/>
      <c r="C171" s="52"/>
      <c r="D171" s="147"/>
      <c r="E171" s="44"/>
    </row>
    <row r="172">
      <c r="A172" s="148"/>
      <c r="B172" s="139"/>
      <c r="C172" s="52"/>
      <c r="D172" s="147"/>
      <c r="E172" s="44"/>
    </row>
    <row r="173">
      <c r="A173" s="148"/>
      <c r="B173" s="139"/>
      <c r="C173" s="52"/>
      <c r="D173" s="147"/>
      <c r="E173" s="44"/>
    </row>
    <row r="174">
      <c r="A174" s="148"/>
      <c r="B174" s="139"/>
      <c r="C174" s="52"/>
      <c r="D174" s="147"/>
      <c r="E174" s="44"/>
    </row>
    <row r="175">
      <c r="A175" s="148"/>
      <c r="B175" s="139"/>
      <c r="C175" s="52"/>
      <c r="D175" s="147"/>
      <c r="E175" s="44"/>
    </row>
    <row r="176">
      <c r="A176" s="148"/>
      <c r="B176" s="139"/>
      <c r="C176" s="52"/>
      <c r="D176" s="147"/>
      <c r="E176" s="44"/>
    </row>
    <row r="177">
      <c r="A177" s="148"/>
      <c r="B177" s="139"/>
      <c r="C177" s="52"/>
      <c r="D177" s="147"/>
      <c r="E177" s="44"/>
    </row>
    <row r="178">
      <c r="A178" s="148"/>
      <c r="B178" s="139"/>
      <c r="C178" s="52"/>
      <c r="D178" s="147"/>
      <c r="E178" s="44"/>
    </row>
    <row r="179">
      <c r="A179" s="148"/>
      <c r="B179" s="139"/>
      <c r="C179" s="52"/>
      <c r="D179" s="147"/>
      <c r="E179" s="44"/>
    </row>
    <row r="180">
      <c r="A180" s="148"/>
      <c r="B180" s="139"/>
      <c r="C180" s="52"/>
      <c r="D180" s="147"/>
      <c r="E180" s="44"/>
    </row>
    <row r="181">
      <c r="A181" s="148"/>
      <c r="B181" s="139"/>
      <c r="C181" s="52"/>
      <c r="D181" s="147"/>
      <c r="E181" s="44"/>
    </row>
    <row r="182">
      <c r="A182" s="148"/>
      <c r="B182" s="139"/>
      <c r="C182" s="52"/>
      <c r="D182" s="147"/>
      <c r="E182" s="44"/>
    </row>
    <row r="183">
      <c r="A183" s="148"/>
      <c r="B183" s="139"/>
      <c r="C183" s="52"/>
      <c r="D183" s="147"/>
      <c r="E183" s="44"/>
    </row>
    <row r="184">
      <c r="A184" s="148"/>
      <c r="B184" s="139"/>
      <c r="C184" s="52"/>
      <c r="D184" s="147"/>
      <c r="E184" s="44"/>
    </row>
    <row r="185">
      <c r="A185" s="148"/>
      <c r="B185" s="139"/>
      <c r="C185" s="52"/>
      <c r="D185" s="147"/>
      <c r="E185" s="44"/>
    </row>
    <row r="186">
      <c r="A186" s="148"/>
      <c r="B186" s="139"/>
      <c r="C186" s="52"/>
      <c r="D186" s="147"/>
      <c r="E186" s="44"/>
    </row>
    <row r="187">
      <c r="A187" s="148"/>
      <c r="B187" s="139"/>
      <c r="C187" s="52"/>
      <c r="D187" s="147"/>
      <c r="E187" s="44"/>
    </row>
    <row r="188">
      <c r="A188" s="148"/>
      <c r="B188" s="139"/>
      <c r="C188" s="52"/>
      <c r="D188" s="147"/>
      <c r="E188" s="44"/>
    </row>
    <row r="189">
      <c r="A189" s="148"/>
      <c r="B189" s="139"/>
      <c r="C189" s="52"/>
      <c r="D189" s="147"/>
      <c r="E189" s="44"/>
    </row>
    <row r="190">
      <c r="A190" s="148"/>
      <c r="B190" s="139"/>
      <c r="C190" s="52"/>
      <c r="D190" s="147"/>
      <c r="E190" s="44"/>
    </row>
    <row r="191">
      <c r="A191" s="148"/>
      <c r="B191" s="139"/>
      <c r="C191" s="52"/>
      <c r="D191" s="147"/>
      <c r="E191" s="44"/>
    </row>
    <row r="192">
      <c r="A192" s="148"/>
      <c r="B192" s="139"/>
      <c r="C192" s="52"/>
      <c r="D192" s="147"/>
      <c r="E192" s="44"/>
    </row>
    <row r="193">
      <c r="A193" s="148"/>
      <c r="B193" s="139"/>
      <c r="C193" s="52"/>
      <c r="D193" s="147"/>
      <c r="E193" s="44"/>
    </row>
    <row r="194">
      <c r="A194" s="148"/>
      <c r="B194" s="139"/>
      <c r="C194" s="52"/>
      <c r="D194" s="147"/>
      <c r="E194" s="44"/>
    </row>
    <row r="195">
      <c r="A195" s="148"/>
      <c r="B195" s="139"/>
      <c r="C195" s="52"/>
      <c r="D195" s="147"/>
      <c r="E195" s="44"/>
    </row>
    <row r="196">
      <c r="A196" s="148"/>
      <c r="B196" s="139"/>
      <c r="C196" s="52"/>
      <c r="D196" s="147"/>
      <c r="E196" s="44"/>
    </row>
    <row r="197">
      <c r="A197" s="148"/>
      <c r="B197" s="139"/>
      <c r="C197" s="52"/>
      <c r="D197" s="147"/>
      <c r="E197" s="44"/>
    </row>
    <row r="198">
      <c r="A198" s="148"/>
      <c r="B198" s="139"/>
      <c r="C198" s="52"/>
      <c r="D198" s="147"/>
      <c r="E198" s="44"/>
    </row>
    <row r="199">
      <c r="A199" s="148"/>
      <c r="B199" s="139"/>
      <c r="C199" s="52"/>
      <c r="D199" s="147"/>
      <c r="E199" s="44"/>
    </row>
    <row r="200">
      <c r="A200" s="148"/>
      <c r="B200" s="139"/>
      <c r="C200" s="52"/>
      <c r="D200" s="147"/>
      <c r="E200" s="44"/>
    </row>
    <row r="201">
      <c r="A201" s="148"/>
      <c r="B201" s="139"/>
      <c r="C201" s="52"/>
      <c r="D201" s="147"/>
      <c r="E201" s="44"/>
    </row>
    <row r="202">
      <c r="A202" s="148"/>
      <c r="B202" s="139"/>
      <c r="C202" s="52"/>
      <c r="D202" s="147"/>
      <c r="E202" s="44"/>
    </row>
    <row r="203">
      <c r="A203" s="148"/>
      <c r="B203" s="139"/>
      <c r="C203" s="52"/>
      <c r="D203" s="147"/>
      <c r="E203" s="44"/>
    </row>
    <row r="204">
      <c r="A204" s="148"/>
      <c r="B204" s="139"/>
      <c r="C204" s="52"/>
      <c r="D204" s="147"/>
      <c r="E204" s="44"/>
    </row>
    <row r="205">
      <c r="A205" s="148"/>
      <c r="B205" s="139"/>
      <c r="C205" s="52"/>
      <c r="D205" s="147"/>
      <c r="E205" s="44"/>
    </row>
    <row r="206">
      <c r="A206" s="148"/>
      <c r="B206" s="139"/>
      <c r="C206" s="52"/>
      <c r="D206" s="147"/>
      <c r="E206" s="44"/>
    </row>
    <row r="207">
      <c r="A207" s="148"/>
      <c r="B207" s="139"/>
      <c r="C207" s="52"/>
      <c r="D207" s="147"/>
      <c r="E207" s="44"/>
    </row>
    <row r="208">
      <c r="A208" s="148"/>
      <c r="B208" s="139"/>
      <c r="C208" s="52"/>
      <c r="D208" s="147"/>
      <c r="E208" s="44"/>
    </row>
    <row r="209">
      <c r="A209" s="148"/>
      <c r="B209" s="139"/>
      <c r="C209" s="52"/>
      <c r="D209" s="147"/>
      <c r="E209" s="44"/>
    </row>
    <row r="210">
      <c r="A210" s="148"/>
      <c r="B210" s="139"/>
      <c r="C210" s="52"/>
      <c r="D210" s="147"/>
      <c r="E210" s="44"/>
    </row>
    <row r="211">
      <c r="A211" s="148"/>
      <c r="B211" s="139"/>
      <c r="C211" s="52"/>
      <c r="D211" s="147"/>
      <c r="E211" s="44"/>
    </row>
    <row r="212">
      <c r="A212" s="148"/>
      <c r="B212" s="139"/>
      <c r="C212" s="52"/>
      <c r="D212" s="147"/>
      <c r="E212" s="44"/>
    </row>
    <row r="213">
      <c r="A213" s="148"/>
      <c r="B213" s="139"/>
      <c r="C213" s="52"/>
      <c r="D213" s="147"/>
      <c r="E213" s="44"/>
    </row>
    <row r="214">
      <c r="A214" s="148"/>
      <c r="B214" s="139"/>
      <c r="C214" s="52"/>
      <c r="D214" s="147"/>
      <c r="E214" s="44"/>
    </row>
    <row r="215">
      <c r="A215" s="148"/>
      <c r="B215" s="139"/>
      <c r="C215" s="52"/>
      <c r="D215" s="147"/>
      <c r="E215" s="44"/>
    </row>
    <row r="216">
      <c r="A216" s="148"/>
      <c r="B216" s="139"/>
      <c r="C216" s="52"/>
      <c r="D216" s="147"/>
      <c r="E216" s="44"/>
    </row>
    <row r="217">
      <c r="A217" s="148"/>
      <c r="B217" s="139"/>
      <c r="C217" s="52"/>
      <c r="D217" s="147"/>
      <c r="E217" s="44"/>
    </row>
    <row r="218">
      <c r="A218" s="148"/>
      <c r="B218" s="139"/>
      <c r="C218" s="52"/>
      <c r="D218" s="147"/>
      <c r="E218" s="44"/>
    </row>
    <row r="219">
      <c r="A219" s="148"/>
      <c r="B219" s="139"/>
      <c r="C219" s="52"/>
      <c r="D219" s="147"/>
      <c r="E219" s="44"/>
    </row>
    <row r="220">
      <c r="A220" s="148"/>
      <c r="B220" s="139"/>
      <c r="C220" s="52"/>
      <c r="D220" s="147"/>
      <c r="E220" s="44"/>
    </row>
    <row r="221">
      <c r="A221" s="148"/>
      <c r="B221" s="139"/>
      <c r="C221" s="52"/>
      <c r="D221" s="147"/>
      <c r="E221" s="44"/>
    </row>
    <row r="222">
      <c r="A222" s="148"/>
      <c r="B222" s="139"/>
      <c r="C222" s="52"/>
      <c r="D222" s="147"/>
      <c r="E222" s="44"/>
    </row>
    <row r="223">
      <c r="A223" s="148"/>
      <c r="B223" s="139"/>
      <c r="C223" s="52"/>
      <c r="D223" s="147"/>
      <c r="E223" s="44"/>
    </row>
    <row r="224">
      <c r="A224" s="148"/>
      <c r="B224" s="139"/>
      <c r="C224" s="52"/>
      <c r="D224" s="147"/>
      <c r="E224" s="44"/>
    </row>
    <row r="225">
      <c r="A225" s="148"/>
      <c r="B225" s="139"/>
      <c r="C225" s="52"/>
      <c r="D225" s="147"/>
      <c r="E225" s="44"/>
    </row>
    <row r="226">
      <c r="A226" s="148"/>
      <c r="B226" s="139"/>
      <c r="C226" s="52"/>
      <c r="D226" s="147"/>
      <c r="E226" s="44"/>
    </row>
    <row r="227">
      <c r="A227" s="148"/>
      <c r="B227" s="139"/>
      <c r="C227" s="52"/>
      <c r="D227" s="147"/>
      <c r="E227" s="44"/>
    </row>
    <row r="228">
      <c r="A228" s="148"/>
      <c r="B228" s="139"/>
      <c r="C228" s="52"/>
      <c r="D228" s="147"/>
      <c r="E228" s="44"/>
    </row>
    <row r="229">
      <c r="A229" s="148"/>
      <c r="B229" s="139"/>
      <c r="C229" s="52"/>
      <c r="D229" s="147"/>
      <c r="E229" s="44"/>
    </row>
    <row r="230">
      <c r="A230" s="148"/>
      <c r="B230" s="139"/>
      <c r="C230" s="52"/>
      <c r="D230" s="147"/>
      <c r="E230" s="44"/>
    </row>
    <row r="231">
      <c r="A231" s="148"/>
      <c r="B231" s="139"/>
      <c r="C231" s="52"/>
      <c r="D231" s="147"/>
      <c r="E231" s="44"/>
    </row>
    <row r="232">
      <c r="A232" s="148"/>
      <c r="B232" s="139"/>
      <c r="C232" s="52"/>
      <c r="D232" s="147"/>
      <c r="E232" s="44"/>
    </row>
    <row r="233">
      <c r="A233" s="148"/>
      <c r="B233" s="139"/>
      <c r="C233" s="52"/>
      <c r="D233" s="147"/>
      <c r="E233" s="44"/>
    </row>
    <row r="234">
      <c r="A234" s="148"/>
      <c r="B234" s="139"/>
      <c r="C234" s="52"/>
      <c r="D234" s="147"/>
      <c r="E234" s="44"/>
    </row>
    <row r="235">
      <c r="A235" s="148"/>
      <c r="B235" s="139"/>
      <c r="C235" s="52"/>
      <c r="D235" s="147"/>
      <c r="E235" s="44"/>
    </row>
    <row r="236">
      <c r="A236" s="148"/>
      <c r="B236" s="139"/>
      <c r="C236" s="52"/>
      <c r="D236" s="147"/>
      <c r="E236" s="44"/>
    </row>
    <row r="237">
      <c r="A237" s="148"/>
      <c r="B237" s="139"/>
      <c r="C237" s="52"/>
      <c r="D237" s="147"/>
      <c r="E237" s="44"/>
    </row>
    <row r="238">
      <c r="A238" s="148"/>
      <c r="B238" s="139"/>
      <c r="C238" s="52"/>
      <c r="D238" s="147"/>
      <c r="E238" s="44"/>
    </row>
    <row r="239">
      <c r="A239" s="148"/>
      <c r="B239" s="139"/>
      <c r="C239" s="52"/>
      <c r="D239" s="147"/>
      <c r="E239" s="44"/>
    </row>
    <row r="240">
      <c r="A240" s="148"/>
      <c r="B240" s="139"/>
      <c r="C240" s="52"/>
      <c r="D240" s="147"/>
      <c r="E240" s="44"/>
    </row>
    <row r="241">
      <c r="A241" s="148"/>
      <c r="B241" s="139"/>
      <c r="C241" s="52"/>
      <c r="D241" s="147"/>
      <c r="E241" s="44"/>
    </row>
    <row r="242">
      <c r="A242" s="148"/>
      <c r="B242" s="139"/>
      <c r="C242" s="52"/>
      <c r="D242" s="147"/>
      <c r="E242" s="44"/>
    </row>
    <row r="243">
      <c r="A243" s="148"/>
      <c r="B243" s="139"/>
      <c r="C243" s="52"/>
      <c r="D243" s="147"/>
      <c r="E243" s="44"/>
    </row>
    <row r="244">
      <c r="A244" s="148"/>
      <c r="B244" s="139"/>
      <c r="C244" s="52"/>
      <c r="D244" s="147"/>
      <c r="E244" s="44"/>
    </row>
    <row r="245">
      <c r="A245" s="148"/>
      <c r="B245" s="139"/>
      <c r="C245" s="52"/>
      <c r="D245" s="147"/>
      <c r="E245" s="44"/>
    </row>
    <row r="246">
      <c r="A246" s="148"/>
      <c r="B246" s="139"/>
      <c r="C246" s="52"/>
      <c r="D246" s="147"/>
      <c r="E246" s="44"/>
    </row>
    <row r="247">
      <c r="A247" s="148"/>
      <c r="B247" s="139"/>
      <c r="C247" s="52"/>
      <c r="D247" s="147"/>
      <c r="E247" s="44"/>
    </row>
    <row r="248">
      <c r="A248" s="148"/>
      <c r="B248" s="139"/>
      <c r="C248" s="52"/>
      <c r="D248" s="147"/>
      <c r="E248" s="44"/>
    </row>
    <row r="249">
      <c r="A249" s="148"/>
      <c r="B249" s="139"/>
      <c r="C249" s="52"/>
      <c r="D249" s="147"/>
      <c r="E249" s="44"/>
    </row>
    <row r="250">
      <c r="A250" s="148"/>
      <c r="B250" s="139"/>
      <c r="C250" s="52"/>
      <c r="D250" s="147"/>
      <c r="E250" s="44"/>
    </row>
    <row r="251">
      <c r="A251" s="148"/>
      <c r="B251" s="139"/>
      <c r="C251" s="52"/>
      <c r="D251" s="147"/>
      <c r="E251" s="44"/>
    </row>
    <row r="252">
      <c r="A252" s="148"/>
      <c r="B252" s="139"/>
      <c r="C252" s="52"/>
      <c r="D252" s="147"/>
      <c r="E252" s="44"/>
    </row>
    <row r="253">
      <c r="A253" s="148"/>
      <c r="B253" s="139"/>
      <c r="C253" s="52"/>
      <c r="D253" s="147"/>
      <c r="E253" s="44"/>
    </row>
    <row r="254">
      <c r="A254" s="148"/>
      <c r="B254" s="139"/>
      <c r="C254" s="52"/>
      <c r="D254" s="147"/>
      <c r="E254" s="44"/>
    </row>
    <row r="255">
      <c r="A255" s="148"/>
      <c r="B255" s="139"/>
      <c r="C255" s="52"/>
      <c r="D255" s="147"/>
      <c r="E255" s="44"/>
    </row>
    <row r="256">
      <c r="A256" s="148"/>
      <c r="B256" s="139"/>
      <c r="C256" s="52"/>
      <c r="D256" s="147"/>
      <c r="E256" s="44"/>
    </row>
    <row r="257">
      <c r="A257" s="148"/>
      <c r="B257" s="139"/>
      <c r="C257" s="52"/>
      <c r="D257" s="147"/>
      <c r="E257" s="44"/>
    </row>
    <row r="258">
      <c r="A258" s="148"/>
      <c r="B258" s="139"/>
      <c r="C258" s="52"/>
      <c r="D258" s="147"/>
      <c r="E258" s="44"/>
    </row>
    <row r="259">
      <c r="A259" s="148"/>
      <c r="B259" s="139"/>
      <c r="C259" s="52"/>
      <c r="D259" s="147"/>
      <c r="E259" s="44"/>
    </row>
    <row r="260">
      <c r="A260" s="148"/>
      <c r="B260" s="139"/>
      <c r="C260" s="52"/>
      <c r="D260" s="147"/>
      <c r="E260" s="44"/>
    </row>
    <row r="261">
      <c r="A261" s="148"/>
      <c r="B261" s="139"/>
      <c r="C261" s="52"/>
      <c r="D261" s="147"/>
      <c r="E261" s="44"/>
    </row>
    <row r="262">
      <c r="A262" s="148"/>
      <c r="B262" s="139"/>
      <c r="C262" s="52"/>
      <c r="D262" s="147"/>
      <c r="E262" s="44"/>
    </row>
    <row r="263">
      <c r="A263" s="148"/>
      <c r="B263" s="139"/>
      <c r="C263" s="52"/>
      <c r="D263" s="147"/>
      <c r="E263" s="44"/>
    </row>
    <row r="264">
      <c r="A264" s="148"/>
      <c r="B264" s="139"/>
      <c r="C264" s="52"/>
      <c r="D264" s="147"/>
      <c r="E264" s="44"/>
    </row>
    <row r="265">
      <c r="A265" s="148"/>
      <c r="B265" s="139"/>
      <c r="C265" s="52"/>
      <c r="D265" s="147"/>
      <c r="E265" s="44"/>
    </row>
    <row r="266">
      <c r="A266" s="148"/>
      <c r="B266" s="139"/>
      <c r="C266" s="52"/>
      <c r="D266" s="147"/>
      <c r="E266" s="44"/>
    </row>
    <row r="267">
      <c r="A267" s="148"/>
      <c r="B267" s="139"/>
      <c r="C267" s="52"/>
      <c r="D267" s="147"/>
      <c r="E267" s="44"/>
    </row>
    <row r="268">
      <c r="A268" s="148"/>
      <c r="B268" s="139"/>
      <c r="C268" s="52"/>
      <c r="D268" s="147"/>
      <c r="E268" s="44"/>
    </row>
    <row r="269">
      <c r="A269" s="148"/>
      <c r="B269" s="139"/>
      <c r="C269" s="52"/>
      <c r="D269" s="147"/>
      <c r="E269" s="44"/>
    </row>
    <row r="270">
      <c r="A270" s="148"/>
      <c r="B270" s="139"/>
      <c r="C270" s="52"/>
      <c r="D270" s="147"/>
      <c r="E270" s="44"/>
    </row>
    <row r="271">
      <c r="A271" s="148"/>
      <c r="B271" s="139"/>
      <c r="C271" s="52"/>
      <c r="D271" s="147"/>
      <c r="E271" s="44"/>
    </row>
    <row r="272">
      <c r="A272" s="148"/>
      <c r="B272" s="139"/>
      <c r="C272" s="52"/>
      <c r="D272" s="147"/>
      <c r="E272" s="44"/>
    </row>
    <row r="273">
      <c r="A273" s="148"/>
      <c r="B273" s="139"/>
      <c r="C273" s="52"/>
      <c r="D273" s="147"/>
      <c r="E273" s="44"/>
    </row>
    <row r="274">
      <c r="A274" s="148"/>
      <c r="B274" s="139"/>
      <c r="C274" s="52"/>
      <c r="D274" s="147"/>
      <c r="E274" s="44"/>
    </row>
    <row r="275">
      <c r="A275" s="148"/>
      <c r="B275" s="139"/>
      <c r="C275" s="52"/>
      <c r="D275" s="147"/>
      <c r="E275" s="44"/>
    </row>
    <row r="276">
      <c r="A276" s="148"/>
      <c r="B276" s="139"/>
      <c r="C276" s="52"/>
      <c r="D276" s="147"/>
      <c r="E276" s="44"/>
    </row>
    <row r="277">
      <c r="A277" s="148"/>
      <c r="B277" s="139"/>
      <c r="C277" s="52"/>
      <c r="D277" s="147"/>
      <c r="E277" s="44"/>
    </row>
    <row r="278">
      <c r="A278" s="148"/>
      <c r="B278" s="139"/>
      <c r="C278" s="52"/>
      <c r="D278" s="147"/>
      <c r="E278" s="44"/>
    </row>
    <row r="279">
      <c r="A279" s="148"/>
      <c r="B279" s="139"/>
      <c r="C279" s="52"/>
      <c r="D279" s="147"/>
      <c r="E279" s="44"/>
    </row>
    <row r="280">
      <c r="A280" s="148"/>
      <c r="B280" s="139"/>
      <c r="C280" s="52"/>
      <c r="D280" s="147"/>
      <c r="E280" s="44"/>
    </row>
    <row r="281">
      <c r="A281" s="148"/>
      <c r="B281" s="139"/>
      <c r="C281" s="52"/>
      <c r="D281" s="147"/>
      <c r="E281" s="44"/>
    </row>
    <row r="282">
      <c r="A282" s="148"/>
      <c r="B282" s="139"/>
      <c r="C282" s="52"/>
      <c r="D282" s="147"/>
      <c r="E282" s="44"/>
    </row>
    <row r="283">
      <c r="A283" s="148"/>
      <c r="B283" s="139"/>
      <c r="C283" s="52"/>
      <c r="D283" s="147"/>
      <c r="E283" s="44"/>
    </row>
    <row r="284">
      <c r="A284" s="148"/>
      <c r="B284" s="139"/>
      <c r="C284" s="52"/>
      <c r="D284" s="147"/>
      <c r="E284" s="44"/>
    </row>
    <row r="285">
      <c r="A285" s="148"/>
      <c r="B285" s="139"/>
      <c r="C285" s="52"/>
      <c r="D285" s="147"/>
      <c r="E285" s="44"/>
    </row>
    <row r="286">
      <c r="A286" s="148"/>
      <c r="B286" s="139"/>
      <c r="C286" s="52"/>
      <c r="D286" s="147"/>
      <c r="E286" s="44"/>
    </row>
    <row r="287">
      <c r="A287" s="148"/>
      <c r="B287" s="139"/>
      <c r="C287" s="52"/>
      <c r="D287" s="147"/>
      <c r="E287" s="44"/>
    </row>
    <row r="288">
      <c r="A288" s="148"/>
      <c r="B288" s="139"/>
      <c r="C288" s="52"/>
      <c r="D288" s="147"/>
      <c r="E288" s="44"/>
    </row>
    <row r="289">
      <c r="A289" s="148"/>
      <c r="B289" s="139"/>
      <c r="C289" s="52"/>
      <c r="D289" s="147"/>
      <c r="E289" s="44"/>
    </row>
    <row r="290">
      <c r="A290" s="148"/>
      <c r="B290" s="139"/>
      <c r="C290" s="52"/>
      <c r="D290" s="147"/>
      <c r="E290" s="44"/>
    </row>
    <row r="291">
      <c r="A291" s="148"/>
      <c r="B291" s="139"/>
      <c r="C291" s="52"/>
      <c r="D291" s="147"/>
      <c r="E291" s="44"/>
    </row>
    <row r="292">
      <c r="A292" s="148"/>
      <c r="B292" s="139"/>
      <c r="C292" s="52"/>
      <c r="D292" s="147"/>
      <c r="E292" s="44"/>
    </row>
    <row r="293">
      <c r="A293" s="148"/>
      <c r="B293" s="139"/>
      <c r="C293" s="52"/>
      <c r="D293" s="147"/>
      <c r="E293" s="44"/>
    </row>
    <row r="294">
      <c r="A294" s="148"/>
      <c r="B294" s="139"/>
      <c r="C294" s="52"/>
      <c r="D294" s="147"/>
      <c r="E294" s="44"/>
    </row>
    <row r="295">
      <c r="A295" s="148"/>
      <c r="B295" s="139"/>
      <c r="C295" s="52"/>
      <c r="D295" s="147"/>
      <c r="E295" s="44"/>
    </row>
    <row r="296">
      <c r="A296" s="148"/>
      <c r="B296" s="139"/>
      <c r="C296" s="52"/>
      <c r="D296" s="147"/>
      <c r="E296" s="44"/>
    </row>
    <row r="297">
      <c r="A297" s="148"/>
      <c r="B297" s="139"/>
      <c r="C297" s="52"/>
      <c r="D297" s="147"/>
      <c r="E297" s="44"/>
    </row>
    <row r="298">
      <c r="A298" s="148"/>
      <c r="B298" s="139"/>
      <c r="C298" s="52"/>
      <c r="D298" s="147"/>
      <c r="E298" s="44"/>
    </row>
    <row r="299">
      <c r="A299" s="148"/>
      <c r="B299" s="139"/>
      <c r="C299" s="52"/>
      <c r="D299" s="147"/>
      <c r="E299" s="44"/>
    </row>
    <row r="300">
      <c r="A300" s="148"/>
      <c r="B300" s="139"/>
      <c r="C300" s="52"/>
      <c r="D300" s="147"/>
      <c r="E300" s="44"/>
    </row>
    <row r="301">
      <c r="A301" s="148"/>
      <c r="B301" s="139"/>
      <c r="C301" s="52"/>
      <c r="D301" s="147"/>
      <c r="E301" s="44"/>
    </row>
    <row r="302">
      <c r="A302" s="148"/>
      <c r="B302" s="139"/>
      <c r="C302" s="52"/>
      <c r="D302" s="147"/>
      <c r="E302" s="44"/>
    </row>
    <row r="303">
      <c r="A303" s="148"/>
      <c r="B303" s="139"/>
      <c r="C303" s="52"/>
      <c r="D303" s="147"/>
      <c r="E303" s="44"/>
    </row>
    <row r="304">
      <c r="A304" s="148"/>
      <c r="B304" s="139"/>
      <c r="C304" s="52"/>
      <c r="D304" s="147"/>
      <c r="E304" s="44"/>
    </row>
    <row r="305">
      <c r="A305" s="148"/>
      <c r="B305" s="139"/>
      <c r="C305" s="52"/>
      <c r="D305" s="147"/>
      <c r="E305" s="44"/>
    </row>
    <row r="306">
      <c r="A306" s="148"/>
      <c r="B306" s="139"/>
      <c r="C306" s="52"/>
      <c r="D306" s="147"/>
      <c r="E306" s="44"/>
    </row>
    <row r="307">
      <c r="A307" s="148"/>
      <c r="B307" s="139"/>
      <c r="C307" s="52"/>
      <c r="D307" s="147"/>
      <c r="E307" s="44"/>
    </row>
    <row r="308">
      <c r="A308" s="148"/>
      <c r="B308" s="139"/>
      <c r="C308" s="52"/>
      <c r="D308" s="147"/>
      <c r="E308" s="44"/>
    </row>
    <row r="309">
      <c r="A309" s="148"/>
      <c r="B309" s="139"/>
      <c r="C309" s="52"/>
      <c r="D309" s="147"/>
      <c r="E309" s="44"/>
    </row>
    <row r="310">
      <c r="A310" s="148"/>
      <c r="B310" s="139"/>
      <c r="C310" s="52"/>
      <c r="D310" s="147"/>
      <c r="E310" s="44"/>
    </row>
    <row r="311">
      <c r="A311" s="148"/>
      <c r="B311" s="139"/>
      <c r="C311" s="52"/>
      <c r="D311" s="147"/>
      <c r="E311" s="44"/>
    </row>
    <row r="312">
      <c r="A312" s="148"/>
      <c r="B312" s="139"/>
      <c r="C312" s="52"/>
      <c r="D312" s="147"/>
      <c r="E312" s="44"/>
    </row>
    <row r="313">
      <c r="A313" s="148"/>
      <c r="B313" s="139"/>
      <c r="C313" s="52"/>
      <c r="D313" s="147"/>
      <c r="E313" s="44"/>
    </row>
    <row r="314">
      <c r="A314" s="148"/>
      <c r="B314" s="139"/>
      <c r="C314" s="52"/>
      <c r="D314" s="147"/>
      <c r="E314" s="44"/>
    </row>
    <row r="315">
      <c r="A315" s="148"/>
      <c r="B315" s="139"/>
      <c r="C315" s="52"/>
      <c r="D315" s="147"/>
      <c r="E315" s="44"/>
    </row>
    <row r="316">
      <c r="A316" s="148"/>
      <c r="B316" s="139"/>
      <c r="C316" s="52"/>
      <c r="D316" s="147"/>
      <c r="E316" s="44"/>
    </row>
    <row r="317">
      <c r="A317" s="148"/>
      <c r="B317" s="139"/>
      <c r="C317" s="52"/>
      <c r="D317" s="147"/>
      <c r="E317" s="44"/>
    </row>
    <row r="318">
      <c r="A318" s="148"/>
      <c r="B318" s="139"/>
      <c r="C318" s="52"/>
      <c r="D318" s="147"/>
      <c r="E318" s="44"/>
    </row>
    <row r="319">
      <c r="A319" s="148"/>
      <c r="B319" s="139"/>
      <c r="C319" s="52"/>
      <c r="D319" s="147"/>
      <c r="E319" s="44"/>
    </row>
    <row r="320">
      <c r="A320" s="148"/>
      <c r="B320" s="139"/>
      <c r="C320" s="52"/>
      <c r="D320" s="147"/>
      <c r="E320" s="44"/>
    </row>
    <row r="321">
      <c r="A321" s="148"/>
      <c r="B321" s="139"/>
      <c r="C321" s="52"/>
      <c r="D321" s="147"/>
      <c r="E321" s="44"/>
    </row>
    <row r="322">
      <c r="A322" s="148"/>
      <c r="B322" s="139"/>
      <c r="C322" s="52"/>
      <c r="D322" s="147"/>
      <c r="E322" s="44"/>
    </row>
    <row r="323">
      <c r="A323" s="148"/>
      <c r="B323" s="139"/>
      <c r="C323" s="52"/>
      <c r="D323" s="147"/>
      <c r="E323" s="44"/>
    </row>
    <row r="324">
      <c r="A324" s="148"/>
      <c r="B324" s="139"/>
      <c r="C324" s="52"/>
      <c r="D324" s="147"/>
      <c r="E324" s="44"/>
    </row>
    <row r="325">
      <c r="A325" s="148"/>
      <c r="B325" s="139"/>
      <c r="C325" s="52"/>
      <c r="D325" s="147"/>
      <c r="E325" s="44"/>
    </row>
    <row r="326">
      <c r="A326" s="148"/>
      <c r="B326" s="139"/>
      <c r="C326" s="52"/>
      <c r="D326" s="147"/>
      <c r="E326" s="44"/>
    </row>
    <row r="327">
      <c r="A327" s="148"/>
      <c r="B327" s="139"/>
      <c r="C327" s="52"/>
      <c r="D327" s="147"/>
      <c r="E327" s="44"/>
    </row>
    <row r="328">
      <c r="A328" s="148"/>
      <c r="B328" s="139"/>
      <c r="C328" s="52"/>
      <c r="D328" s="147"/>
      <c r="E328" s="44"/>
    </row>
    <row r="329">
      <c r="A329" s="148"/>
      <c r="B329" s="139"/>
      <c r="C329" s="52"/>
      <c r="D329" s="147"/>
      <c r="E329" s="44"/>
    </row>
    <row r="330">
      <c r="A330" s="148"/>
      <c r="B330" s="139"/>
      <c r="C330" s="52"/>
      <c r="D330" s="147"/>
      <c r="E330" s="44"/>
    </row>
    <row r="331">
      <c r="A331" s="148"/>
      <c r="B331" s="139"/>
      <c r="C331" s="52"/>
      <c r="D331" s="147"/>
      <c r="E331" s="44"/>
    </row>
    <row r="332">
      <c r="A332" s="148"/>
      <c r="B332" s="139"/>
      <c r="C332" s="52"/>
      <c r="D332" s="147"/>
      <c r="E332" s="44"/>
    </row>
    <row r="333">
      <c r="A333" s="148"/>
      <c r="B333" s="139"/>
      <c r="C333" s="52"/>
      <c r="D333" s="147"/>
      <c r="E333" s="44"/>
    </row>
    <row r="334">
      <c r="A334" s="148"/>
      <c r="B334" s="139"/>
      <c r="C334" s="52"/>
      <c r="D334" s="147"/>
      <c r="E334" s="44"/>
    </row>
    <row r="335">
      <c r="A335" s="148"/>
      <c r="B335" s="139"/>
      <c r="C335" s="52"/>
      <c r="D335" s="147"/>
      <c r="E335" s="44"/>
    </row>
    <row r="336">
      <c r="A336" s="148"/>
      <c r="B336" s="139"/>
      <c r="C336" s="52"/>
      <c r="D336" s="147"/>
      <c r="E336" s="44"/>
    </row>
    <row r="337">
      <c r="A337" s="148"/>
      <c r="B337" s="139"/>
      <c r="C337" s="52"/>
      <c r="D337" s="147"/>
      <c r="E337" s="44"/>
    </row>
    <row r="338">
      <c r="A338" s="148"/>
      <c r="B338" s="139"/>
      <c r="C338" s="52"/>
      <c r="D338" s="147"/>
      <c r="E338" s="44"/>
    </row>
    <row r="339">
      <c r="A339" s="148"/>
      <c r="B339" s="139"/>
      <c r="C339" s="52"/>
      <c r="D339" s="147"/>
      <c r="E339" s="44"/>
    </row>
    <row r="340">
      <c r="A340" s="148"/>
      <c r="B340" s="139"/>
      <c r="C340" s="52"/>
      <c r="D340" s="147"/>
      <c r="E340" s="44"/>
    </row>
    <row r="341">
      <c r="A341" s="148"/>
      <c r="B341" s="139"/>
      <c r="C341" s="52"/>
      <c r="D341" s="147"/>
      <c r="E341" s="44"/>
    </row>
    <row r="342">
      <c r="A342" s="148"/>
      <c r="B342" s="139"/>
      <c r="C342" s="52"/>
      <c r="D342" s="147"/>
      <c r="E342" s="44"/>
    </row>
    <row r="343">
      <c r="A343" s="148"/>
      <c r="B343" s="139"/>
      <c r="C343" s="52"/>
      <c r="D343" s="147"/>
      <c r="E343" s="44"/>
    </row>
    <row r="344">
      <c r="A344" s="148"/>
      <c r="B344" s="139"/>
      <c r="C344" s="52"/>
      <c r="D344" s="147"/>
      <c r="E344" s="44"/>
    </row>
    <row r="345">
      <c r="A345" s="148"/>
      <c r="B345" s="139"/>
      <c r="C345" s="52"/>
      <c r="D345" s="147"/>
      <c r="E345" s="44"/>
    </row>
    <row r="346">
      <c r="A346" s="148"/>
      <c r="B346" s="139"/>
      <c r="C346" s="52"/>
      <c r="D346" s="147"/>
      <c r="E346" s="44"/>
    </row>
    <row r="347">
      <c r="A347" s="148"/>
      <c r="B347" s="139"/>
      <c r="C347" s="52"/>
      <c r="D347" s="147"/>
      <c r="E347" s="44"/>
    </row>
    <row r="348">
      <c r="A348" s="148"/>
      <c r="B348" s="139"/>
      <c r="C348" s="52"/>
      <c r="D348" s="147"/>
      <c r="E348" s="44"/>
    </row>
    <row r="349">
      <c r="A349" s="148"/>
      <c r="B349" s="139"/>
      <c r="C349" s="52"/>
      <c r="D349" s="147"/>
      <c r="E349" s="44"/>
    </row>
    <row r="350">
      <c r="A350" s="148"/>
      <c r="B350" s="139"/>
      <c r="C350" s="52"/>
      <c r="D350" s="147"/>
      <c r="E350" s="44"/>
    </row>
    <row r="351">
      <c r="A351" s="148"/>
      <c r="B351" s="139"/>
      <c r="C351" s="52"/>
      <c r="D351" s="147"/>
      <c r="E351" s="44"/>
    </row>
    <row r="352">
      <c r="A352" s="148"/>
      <c r="B352" s="139"/>
      <c r="C352" s="52"/>
      <c r="D352" s="147"/>
      <c r="E352" s="44"/>
    </row>
    <row r="353">
      <c r="A353" s="148"/>
      <c r="B353" s="139"/>
      <c r="C353" s="52"/>
      <c r="D353" s="147"/>
      <c r="E353" s="44"/>
    </row>
    <row r="354">
      <c r="A354" s="148"/>
      <c r="B354" s="139"/>
      <c r="C354" s="52"/>
      <c r="D354" s="147"/>
      <c r="E354" s="44"/>
    </row>
    <row r="355">
      <c r="A355" s="148"/>
      <c r="B355" s="139"/>
      <c r="C355" s="52"/>
      <c r="D355" s="147"/>
      <c r="E355" s="44"/>
    </row>
    <row r="356">
      <c r="A356" s="148"/>
      <c r="B356" s="139"/>
      <c r="C356" s="52"/>
      <c r="D356" s="147"/>
      <c r="E356" s="44"/>
    </row>
    <row r="357">
      <c r="A357" s="148"/>
      <c r="B357" s="139"/>
      <c r="C357" s="52"/>
      <c r="D357" s="147"/>
      <c r="E357" s="44"/>
    </row>
    <row r="358">
      <c r="A358" s="148"/>
      <c r="B358" s="139"/>
      <c r="C358" s="52"/>
      <c r="D358" s="147"/>
      <c r="E358" s="44"/>
    </row>
    <row r="359">
      <c r="A359" s="148"/>
      <c r="B359" s="139"/>
      <c r="C359" s="52"/>
      <c r="D359" s="147"/>
      <c r="E359" s="44"/>
    </row>
    <row r="360">
      <c r="A360" s="148"/>
      <c r="B360" s="139"/>
      <c r="C360" s="52"/>
      <c r="D360" s="147"/>
      <c r="E360" s="44"/>
    </row>
    <row r="361">
      <c r="A361" s="148"/>
      <c r="B361" s="139"/>
      <c r="C361" s="52"/>
      <c r="D361" s="147"/>
      <c r="E361" s="44"/>
    </row>
    <row r="362">
      <c r="A362" s="148"/>
      <c r="B362" s="139"/>
      <c r="C362" s="52"/>
      <c r="D362" s="147"/>
      <c r="E362" s="44"/>
    </row>
    <row r="363">
      <c r="A363" s="148"/>
      <c r="B363" s="139"/>
      <c r="C363" s="52"/>
      <c r="D363" s="147"/>
      <c r="E363" s="44"/>
    </row>
    <row r="364">
      <c r="A364" s="148"/>
      <c r="B364" s="139"/>
      <c r="C364" s="52"/>
      <c r="D364" s="147"/>
      <c r="E364" s="44"/>
    </row>
    <row r="365">
      <c r="A365" s="148"/>
      <c r="B365" s="139"/>
      <c r="C365" s="52"/>
      <c r="D365" s="147"/>
      <c r="E365" s="44"/>
    </row>
    <row r="366">
      <c r="A366" s="148"/>
      <c r="B366" s="139"/>
      <c r="C366" s="52"/>
      <c r="D366" s="147"/>
      <c r="E366" s="44"/>
    </row>
    <row r="367">
      <c r="A367" s="148"/>
      <c r="B367" s="139"/>
      <c r="C367" s="52"/>
      <c r="D367" s="147"/>
      <c r="E367" s="44"/>
    </row>
    <row r="368">
      <c r="A368" s="148"/>
      <c r="B368" s="139"/>
      <c r="C368" s="52"/>
      <c r="D368" s="147"/>
      <c r="E368" s="44"/>
    </row>
    <row r="369">
      <c r="A369" s="148"/>
      <c r="B369" s="139"/>
      <c r="C369" s="52"/>
      <c r="D369" s="147"/>
      <c r="E369" s="44"/>
    </row>
    <row r="370">
      <c r="A370" s="148"/>
      <c r="B370" s="139"/>
      <c r="C370" s="52"/>
      <c r="D370" s="147"/>
      <c r="E370" s="44"/>
    </row>
    <row r="371">
      <c r="A371" s="148"/>
      <c r="B371" s="139"/>
      <c r="C371" s="52"/>
      <c r="D371" s="147"/>
      <c r="E371" s="44"/>
    </row>
    <row r="372">
      <c r="A372" s="148"/>
      <c r="B372" s="139"/>
      <c r="C372" s="52"/>
      <c r="D372" s="147"/>
      <c r="E372" s="44"/>
    </row>
    <row r="373">
      <c r="A373" s="148"/>
      <c r="B373" s="139"/>
      <c r="C373" s="52"/>
      <c r="D373" s="147"/>
      <c r="E373" s="44"/>
    </row>
    <row r="374">
      <c r="A374" s="148"/>
      <c r="B374" s="139"/>
      <c r="C374" s="52"/>
      <c r="D374" s="147"/>
      <c r="E374" s="44"/>
    </row>
    <row r="375">
      <c r="A375" s="148"/>
      <c r="B375" s="139"/>
      <c r="C375" s="52"/>
      <c r="D375" s="147"/>
      <c r="E375" s="44"/>
    </row>
    <row r="376">
      <c r="A376" s="148"/>
      <c r="B376" s="139"/>
      <c r="C376" s="52"/>
      <c r="D376" s="147"/>
      <c r="E376" s="44"/>
    </row>
    <row r="377">
      <c r="A377" s="148"/>
      <c r="B377" s="139"/>
      <c r="C377" s="52"/>
      <c r="D377" s="147"/>
      <c r="E377" s="44"/>
    </row>
    <row r="378">
      <c r="A378" s="148"/>
      <c r="B378" s="139"/>
      <c r="C378" s="52"/>
      <c r="D378" s="147"/>
      <c r="E378" s="44"/>
    </row>
    <row r="379">
      <c r="A379" s="148"/>
      <c r="B379" s="139"/>
      <c r="C379" s="52"/>
      <c r="D379" s="147"/>
      <c r="E379" s="44"/>
    </row>
    <row r="380">
      <c r="A380" s="148"/>
      <c r="B380" s="139"/>
      <c r="C380" s="52"/>
      <c r="D380" s="147"/>
      <c r="E380" s="44"/>
    </row>
    <row r="381">
      <c r="A381" s="148"/>
      <c r="B381" s="139"/>
      <c r="C381" s="52"/>
      <c r="D381" s="147"/>
      <c r="E381" s="44"/>
    </row>
    <row r="382">
      <c r="A382" s="148"/>
      <c r="B382" s="139"/>
      <c r="C382" s="52"/>
      <c r="D382" s="147"/>
      <c r="E382" s="44"/>
    </row>
    <row r="383">
      <c r="A383" s="148"/>
      <c r="B383" s="139"/>
      <c r="C383" s="52"/>
      <c r="D383" s="147"/>
      <c r="E383" s="44"/>
    </row>
    <row r="384">
      <c r="A384" s="148"/>
      <c r="B384" s="139"/>
      <c r="C384" s="52"/>
      <c r="D384" s="147"/>
      <c r="E384" s="44"/>
    </row>
    <row r="385">
      <c r="A385" s="148"/>
      <c r="B385" s="139"/>
      <c r="C385" s="52"/>
      <c r="D385" s="147"/>
      <c r="E385" s="44"/>
    </row>
    <row r="386">
      <c r="A386" s="148"/>
      <c r="B386" s="139"/>
      <c r="C386" s="52"/>
      <c r="D386" s="147"/>
      <c r="E386" s="44"/>
    </row>
    <row r="387">
      <c r="A387" s="148"/>
      <c r="B387" s="139"/>
      <c r="C387" s="52"/>
      <c r="D387" s="147"/>
      <c r="E387" s="44"/>
    </row>
    <row r="388">
      <c r="A388" s="148"/>
      <c r="B388" s="139"/>
      <c r="C388" s="52"/>
      <c r="D388" s="147"/>
      <c r="E388" s="44"/>
    </row>
    <row r="389">
      <c r="A389" s="148"/>
      <c r="B389" s="139"/>
      <c r="C389" s="52"/>
      <c r="D389" s="147"/>
      <c r="E389" s="44"/>
    </row>
    <row r="390">
      <c r="A390" s="148"/>
      <c r="B390" s="139"/>
      <c r="C390" s="52"/>
      <c r="D390" s="147"/>
      <c r="E390" s="44"/>
    </row>
    <row r="391">
      <c r="A391" s="148"/>
      <c r="B391" s="139"/>
      <c r="C391" s="52"/>
      <c r="D391" s="147"/>
      <c r="E391" s="44"/>
    </row>
    <row r="392">
      <c r="A392" s="148"/>
      <c r="B392" s="139"/>
      <c r="C392" s="52"/>
      <c r="D392" s="147"/>
      <c r="E392" s="44"/>
    </row>
    <row r="393">
      <c r="A393" s="148"/>
      <c r="B393" s="139"/>
      <c r="C393" s="52"/>
      <c r="D393" s="147"/>
      <c r="E393" s="44"/>
    </row>
    <row r="394">
      <c r="A394" s="148"/>
      <c r="B394" s="139"/>
      <c r="C394" s="52"/>
      <c r="D394" s="147"/>
      <c r="E394" s="44"/>
    </row>
    <row r="395">
      <c r="A395" s="148"/>
      <c r="B395" s="139"/>
      <c r="C395" s="52"/>
      <c r="D395" s="147"/>
      <c r="E395" s="44"/>
    </row>
    <row r="396">
      <c r="A396" s="148"/>
      <c r="B396" s="139"/>
      <c r="C396" s="52"/>
      <c r="D396" s="147"/>
      <c r="E396" s="44"/>
    </row>
    <row r="397">
      <c r="A397" s="148"/>
      <c r="B397" s="139"/>
      <c r="C397" s="52"/>
      <c r="D397" s="147"/>
      <c r="E397" s="44"/>
    </row>
    <row r="398">
      <c r="A398" s="148"/>
      <c r="B398" s="139"/>
      <c r="C398" s="52"/>
      <c r="D398" s="147"/>
      <c r="E398" s="44"/>
    </row>
    <row r="399">
      <c r="A399" s="148"/>
      <c r="B399" s="139"/>
      <c r="C399" s="52"/>
      <c r="D399" s="147"/>
      <c r="E399" s="44"/>
    </row>
    <row r="400">
      <c r="A400" s="148"/>
      <c r="B400" s="139"/>
      <c r="C400" s="52"/>
      <c r="D400" s="147"/>
      <c r="E400" s="44"/>
    </row>
    <row r="401">
      <c r="A401" s="148"/>
      <c r="B401" s="139"/>
      <c r="C401" s="52"/>
      <c r="D401" s="147"/>
      <c r="E401" s="44"/>
    </row>
    <row r="402">
      <c r="A402" s="148"/>
      <c r="B402" s="139"/>
      <c r="C402" s="52"/>
      <c r="D402" s="147"/>
      <c r="E402" s="44"/>
    </row>
    <row r="403">
      <c r="A403" s="148"/>
      <c r="B403" s="139"/>
      <c r="C403" s="52"/>
      <c r="D403" s="147"/>
      <c r="E403" s="44"/>
    </row>
    <row r="404">
      <c r="A404" s="148"/>
      <c r="B404" s="139"/>
      <c r="C404" s="52"/>
      <c r="D404" s="147"/>
      <c r="E404" s="44"/>
    </row>
    <row r="405">
      <c r="A405" s="148"/>
      <c r="B405" s="139"/>
      <c r="C405" s="52"/>
      <c r="D405" s="147"/>
      <c r="E405" s="44"/>
    </row>
    <row r="406">
      <c r="A406" s="148"/>
      <c r="B406" s="139"/>
      <c r="C406" s="52"/>
      <c r="D406" s="147"/>
      <c r="E406" s="44"/>
    </row>
    <row r="407">
      <c r="A407" s="148"/>
      <c r="B407" s="139"/>
      <c r="C407" s="52"/>
      <c r="D407" s="147"/>
      <c r="E407" s="44"/>
    </row>
    <row r="408">
      <c r="A408" s="148"/>
      <c r="B408" s="139"/>
      <c r="C408" s="52"/>
      <c r="D408" s="147"/>
      <c r="E408" s="44"/>
    </row>
    <row r="409">
      <c r="A409" s="148"/>
      <c r="B409" s="139"/>
      <c r="C409" s="52"/>
      <c r="D409" s="147"/>
      <c r="E409" s="44"/>
    </row>
    <row r="410">
      <c r="A410" s="148"/>
      <c r="B410" s="139"/>
      <c r="C410" s="52"/>
      <c r="D410" s="147"/>
      <c r="E410" s="44"/>
    </row>
    <row r="411">
      <c r="A411" s="148"/>
      <c r="B411" s="139"/>
      <c r="C411" s="52"/>
      <c r="D411" s="147"/>
      <c r="E411" s="44"/>
    </row>
    <row r="412">
      <c r="A412" s="148"/>
      <c r="B412" s="139"/>
      <c r="C412" s="52"/>
      <c r="D412" s="147"/>
      <c r="E412" s="44"/>
    </row>
    <row r="413">
      <c r="A413" s="148"/>
      <c r="B413" s="139"/>
      <c r="C413" s="52"/>
      <c r="D413" s="147"/>
      <c r="E413" s="44"/>
    </row>
    <row r="414">
      <c r="A414" s="148"/>
      <c r="B414" s="139"/>
      <c r="C414" s="52"/>
      <c r="D414" s="147"/>
      <c r="E414" s="44"/>
    </row>
    <row r="415">
      <c r="A415" s="148"/>
      <c r="B415" s="139"/>
      <c r="C415" s="52"/>
      <c r="D415" s="147"/>
      <c r="E415" s="44"/>
    </row>
    <row r="416">
      <c r="A416" s="148"/>
      <c r="B416" s="139"/>
      <c r="C416" s="52"/>
      <c r="D416" s="147"/>
      <c r="E416" s="44"/>
    </row>
    <row r="417">
      <c r="A417" s="148"/>
      <c r="B417" s="139"/>
      <c r="C417" s="52"/>
      <c r="D417" s="147"/>
      <c r="E417" s="44"/>
    </row>
    <row r="418">
      <c r="A418" s="148"/>
      <c r="B418" s="139"/>
      <c r="C418" s="52"/>
      <c r="D418" s="147"/>
      <c r="E418" s="44"/>
    </row>
    <row r="419">
      <c r="A419" s="148"/>
      <c r="B419" s="139"/>
      <c r="C419" s="52"/>
      <c r="D419" s="147"/>
      <c r="E419" s="44"/>
    </row>
    <row r="420">
      <c r="A420" s="148"/>
      <c r="B420" s="139"/>
      <c r="C420" s="52"/>
      <c r="D420" s="147"/>
      <c r="E420" s="44"/>
    </row>
    <row r="421">
      <c r="A421" s="148"/>
      <c r="B421" s="139"/>
      <c r="C421" s="52"/>
      <c r="D421" s="147"/>
      <c r="E421" s="44"/>
    </row>
    <row r="422">
      <c r="A422" s="148"/>
      <c r="B422" s="139"/>
      <c r="C422" s="52"/>
      <c r="D422" s="147"/>
      <c r="E422" s="44"/>
    </row>
    <row r="423">
      <c r="A423" s="148"/>
      <c r="B423" s="139"/>
      <c r="C423" s="52"/>
      <c r="D423" s="147"/>
      <c r="E423" s="44"/>
    </row>
    <row r="424">
      <c r="A424" s="148"/>
      <c r="B424" s="139"/>
      <c r="C424" s="52"/>
      <c r="D424" s="147"/>
      <c r="E424" s="44"/>
    </row>
    <row r="425">
      <c r="A425" s="148"/>
      <c r="B425" s="139"/>
      <c r="C425" s="52"/>
      <c r="D425" s="147"/>
      <c r="E425" s="44"/>
    </row>
    <row r="426">
      <c r="A426" s="148"/>
      <c r="B426" s="139"/>
      <c r="C426" s="52"/>
      <c r="D426" s="147"/>
      <c r="E426" s="44"/>
    </row>
    <row r="427">
      <c r="A427" s="148"/>
      <c r="B427" s="139"/>
      <c r="C427" s="52"/>
      <c r="D427" s="147"/>
      <c r="E427" s="44"/>
    </row>
    <row r="428">
      <c r="A428" s="148"/>
      <c r="B428" s="139"/>
      <c r="C428" s="52"/>
      <c r="D428" s="147"/>
      <c r="E428" s="44"/>
    </row>
    <row r="429">
      <c r="A429" s="148"/>
      <c r="B429" s="139"/>
      <c r="C429" s="52"/>
      <c r="D429" s="147"/>
      <c r="E429" s="44"/>
    </row>
    <row r="430">
      <c r="A430" s="148"/>
      <c r="B430" s="139"/>
      <c r="C430" s="52"/>
      <c r="D430" s="147"/>
      <c r="E430" s="44"/>
    </row>
    <row r="431">
      <c r="A431" s="148"/>
      <c r="B431" s="139"/>
      <c r="C431" s="52"/>
      <c r="D431" s="147"/>
      <c r="E431" s="44"/>
    </row>
    <row r="432">
      <c r="A432" s="148"/>
      <c r="B432" s="139"/>
      <c r="C432" s="52"/>
      <c r="D432" s="147"/>
      <c r="E432" s="44"/>
    </row>
    <row r="433">
      <c r="A433" s="148"/>
      <c r="B433" s="139"/>
      <c r="C433" s="52"/>
      <c r="D433" s="147"/>
      <c r="E433" s="44"/>
    </row>
    <row r="434">
      <c r="A434" s="148"/>
      <c r="B434" s="139"/>
      <c r="C434" s="52"/>
      <c r="D434" s="147"/>
      <c r="E434" s="44"/>
    </row>
    <row r="435">
      <c r="A435" s="148"/>
      <c r="B435" s="139"/>
      <c r="C435" s="52"/>
      <c r="D435" s="147"/>
      <c r="E435" s="44"/>
    </row>
    <row r="436">
      <c r="A436" s="148"/>
      <c r="B436" s="139"/>
      <c r="C436" s="52"/>
      <c r="D436" s="147"/>
      <c r="E436" s="44"/>
    </row>
    <row r="437">
      <c r="A437" s="148"/>
      <c r="B437" s="139"/>
      <c r="C437" s="52"/>
      <c r="D437" s="147"/>
      <c r="E437" s="44"/>
    </row>
    <row r="438">
      <c r="A438" s="148"/>
      <c r="B438" s="139"/>
      <c r="C438" s="52"/>
      <c r="D438" s="147"/>
      <c r="E438" s="44"/>
    </row>
    <row r="439">
      <c r="A439" s="148"/>
      <c r="B439" s="139"/>
      <c r="C439" s="52"/>
      <c r="D439" s="147"/>
      <c r="E439" s="44"/>
    </row>
    <row r="440">
      <c r="A440" s="148"/>
      <c r="B440" s="139"/>
      <c r="C440" s="52"/>
      <c r="D440" s="147"/>
      <c r="E440" s="44"/>
    </row>
    <row r="441">
      <c r="A441" s="148"/>
      <c r="B441" s="139"/>
      <c r="C441" s="52"/>
      <c r="D441" s="147"/>
      <c r="E441" s="44"/>
    </row>
    <row r="442">
      <c r="A442" s="148"/>
      <c r="B442" s="139"/>
      <c r="C442" s="52"/>
      <c r="D442" s="147"/>
      <c r="E442" s="44"/>
    </row>
    <row r="443">
      <c r="A443" s="148"/>
      <c r="B443" s="139"/>
      <c r="C443" s="52"/>
      <c r="D443" s="147"/>
      <c r="E443" s="44"/>
    </row>
    <row r="444">
      <c r="A444" s="148"/>
      <c r="B444" s="139"/>
      <c r="C444" s="52"/>
      <c r="D444" s="147"/>
      <c r="E444" s="44"/>
    </row>
    <row r="445">
      <c r="A445" s="148"/>
      <c r="B445" s="139"/>
      <c r="C445" s="52"/>
      <c r="D445" s="147"/>
      <c r="E445" s="44"/>
    </row>
    <row r="446">
      <c r="A446" s="148"/>
      <c r="B446" s="139"/>
      <c r="C446" s="52"/>
      <c r="D446" s="147"/>
      <c r="E446" s="44"/>
    </row>
    <row r="447">
      <c r="A447" s="148"/>
      <c r="B447" s="139"/>
      <c r="C447" s="52"/>
      <c r="D447" s="147"/>
      <c r="E447" s="44"/>
    </row>
    <row r="448">
      <c r="A448" s="148"/>
      <c r="B448" s="139"/>
      <c r="C448" s="52"/>
      <c r="D448" s="147"/>
      <c r="E448" s="44"/>
    </row>
    <row r="449">
      <c r="A449" s="148"/>
      <c r="B449" s="139"/>
      <c r="C449" s="52"/>
      <c r="D449" s="147"/>
      <c r="E449" s="44"/>
    </row>
    <row r="450">
      <c r="A450" s="148"/>
      <c r="B450" s="139"/>
      <c r="C450" s="52"/>
      <c r="D450" s="147"/>
      <c r="E450" s="44"/>
    </row>
    <row r="451">
      <c r="A451" s="148"/>
      <c r="B451" s="139"/>
      <c r="C451" s="52"/>
      <c r="D451" s="147"/>
      <c r="E451" s="44"/>
    </row>
    <row r="452">
      <c r="A452" s="148"/>
      <c r="B452" s="139"/>
      <c r="C452" s="52"/>
      <c r="D452" s="147"/>
      <c r="E452" s="44"/>
    </row>
    <row r="453">
      <c r="A453" s="148"/>
      <c r="B453" s="139"/>
      <c r="C453" s="52"/>
      <c r="D453" s="147"/>
      <c r="E453" s="44"/>
    </row>
    <row r="454">
      <c r="A454" s="148"/>
      <c r="B454" s="139"/>
      <c r="C454" s="52"/>
      <c r="D454" s="147"/>
      <c r="E454" s="44"/>
    </row>
    <row r="455">
      <c r="A455" s="148"/>
      <c r="B455" s="139"/>
      <c r="C455" s="52"/>
      <c r="D455" s="147"/>
      <c r="E455" s="44"/>
    </row>
    <row r="456">
      <c r="A456" s="148"/>
      <c r="B456" s="139"/>
      <c r="C456" s="52"/>
      <c r="D456" s="147"/>
      <c r="E456" s="44"/>
    </row>
    <row r="457">
      <c r="A457" s="148"/>
      <c r="B457" s="139"/>
      <c r="C457" s="52"/>
      <c r="D457" s="147"/>
      <c r="E457" s="44"/>
    </row>
    <row r="458">
      <c r="A458" s="148"/>
      <c r="B458" s="139"/>
      <c r="C458" s="52"/>
      <c r="D458" s="147"/>
      <c r="E458" s="44"/>
    </row>
    <row r="459">
      <c r="A459" s="148"/>
      <c r="B459" s="139"/>
      <c r="C459" s="52"/>
      <c r="D459" s="147"/>
      <c r="E459" s="44"/>
    </row>
    <row r="460">
      <c r="A460" s="148"/>
      <c r="B460" s="139"/>
      <c r="C460" s="52"/>
      <c r="D460" s="147"/>
      <c r="E460" s="44"/>
    </row>
    <row r="461">
      <c r="A461" s="148"/>
      <c r="B461" s="139"/>
      <c r="C461" s="52"/>
      <c r="D461" s="147"/>
      <c r="E461" s="44"/>
    </row>
    <row r="462">
      <c r="A462" s="148"/>
      <c r="B462" s="139"/>
      <c r="C462" s="52"/>
      <c r="D462" s="147"/>
      <c r="E462" s="44"/>
    </row>
    <row r="463">
      <c r="A463" s="148"/>
      <c r="B463" s="139"/>
      <c r="C463" s="52"/>
      <c r="D463" s="147"/>
      <c r="E463" s="44"/>
    </row>
    <row r="464">
      <c r="A464" s="148"/>
      <c r="B464" s="139"/>
      <c r="C464" s="52"/>
      <c r="D464" s="147"/>
      <c r="E464" s="44"/>
    </row>
    <row r="465">
      <c r="A465" s="148"/>
      <c r="B465" s="139"/>
      <c r="C465" s="52"/>
      <c r="D465" s="147"/>
      <c r="E465" s="44"/>
    </row>
    <row r="466">
      <c r="A466" s="148"/>
      <c r="B466" s="139"/>
      <c r="C466" s="52"/>
      <c r="D466" s="147"/>
      <c r="E466" s="44"/>
    </row>
    <row r="467">
      <c r="A467" s="148"/>
      <c r="B467" s="139"/>
      <c r="C467" s="52"/>
      <c r="D467" s="147"/>
      <c r="E467" s="44"/>
    </row>
    <row r="468">
      <c r="A468" s="148"/>
      <c r="B468" s="139"/>
      <c r="C468" s="52"/>
      <c r="D468" s="147"/>
      <c r="E468" s="44"/>
    </row>
    <row r="469">
      <c r="A469" s="148"/>
      <c r="B469" s="139"/>
      <c r="C469" s="52"/>
      <c r="D469" s="147"/>
      <c r="E469" s="44"/>
    </row>
    <row r="470">
      <c r="A470" s="148"/>
      <c r="B470" s="139"/>
      <c r="C470" s="52"/>
      <c r="D470" s="147"/>
      <c r="E470" s="44"/>
    </row>
    <row r="471">
      <c r="A471" s="148"/>
      <c r="B471" s="139"/>
      <c r="C471" s="52"/>
      <c r="D471" s="147"/>
      <c r="E471" s="44"/>
    </row>
    <row r="472">
      <c r="A472" s="148"/>
      <c r="B472" s="139"/>
      <c r="C472" s="52"/>
      <c r="D472" s="147"/>
      <c r="E472" s="44"/>
    </row>
    <row r="473">
      <c r="A473" s="148"/>
      <c r="B473" s="139"/>
      <c r="C473" s="52"/>
      <c r="D473" s="147"/>
      <c r="E473" s="44"/>
    </row>
    <row r="474">
      <c r="A474" s="148"/>
      <c r="B474" s="139"/>
      <c r="C474" s="52"/>
      <c r="D474" s="147"/>
      <c r="E474" s="44"/>
    </row>
    <row r="475">
      <c r="A475" s="148"/>
      <c r="B475" s="139"/>
      <c r="C475" s="52"/>
      <c r="D475" s="147"/>
      <c r="E475" s="44"/>
    </row>
    <row r="476">
      <c r="A476" s="148"/>
      <c r="B476" s="139"/>
      <c r="C476" s="52"/>
      <c r="D476" s="147"/>
      <c r="E476" s="44"/>
    </row>
    <row r="477">
      <c r="A477" s="148"/>
      <c r="B477" s="139"/>
      <c r="C477" s="52"/>
      <c r="D477" s="147"/>
      <c r="E477" s="44"/>
    </row>
    <row r="478">
      <c r="A478" s="148"/>
      <c r="B478" s="139"/>
      <c r="C478" s="52"/>
      <c r="D478" s="147"/>
      <c r="E478" s="44"/>
    </row>
    <row r="479">
      <c r="A479" s="148"/>
      <c r="B479" s="139"/>
      <c r="C479" s="52"/>
      <c r="D479" s="147"/>
      <c r="E479" s="44"/>
    </row>
    <row r="480">
      <c r="A480" s="148"/>
      <c r="B480" s="139"/>
      <c r="C480" s="52"/>
      <c r="D480" s="147"/>
      <c r="E480" s="44"/>
    </row>
    <row r="481">
      <c r="A481" s="148"/>
      <c r="B481" s="139"/>
      <c r="C481" s="52"/>
      <c r="D481" s="147"/>
      <c r="E481" s="44"/>
    </row>
    <row r="482">
      <c r="A482" s="148"/>
      <c r="B482" s="139"/>
      <c r="C482" s="52"/>
      <c r="D482" s="147"/>
      <c r="E482" s="44"/>
    </row>
    <row r="483">
      <c r="A483" s="148"/>
      <c r="B483" s="139"/>
      <c r="C483" s="52"/>
      <c r="D483" s="147"/>
      <c r="E483" s="44"/>
    </row>
    <row r="484">
      <c r="A484" s="148"/>
      <c r="B484" s="139"/>
      <c r="C484" s="52"/>
      <c r="D484" s="147"/>
      <c r="E484" s="44"/>
    </row>
    <row r="485">
      <c r="A485" s="148"/>
      <c r="B485" s="139"/>
      <c r="C485" s="52"/>
      <c r="D485" s="147"/>
      <c r="E485" s="44"/>
    </row>
    <row r="486">
      <c r="A486" s="148"/>
      <c r="B486" s="139"/>
      <c r="C486" s="52"/>
      <c r="D486" s="147"/>
      <c r="E486" s="44"/>
    </row>
    <row r="487">
      <c r="A487" s="148"/>
      <c r="B487" s="139"/>
      <c r="C487" s="52"/>
      <c r="D487" s="147"/>
      <c r="E487" s="44"/>
    </row>
    <row r="488">
      <c r="A488" s="148"/>
      <c r="B488" s="139"/>
      <c r="C488" s="52"/>
      <c r="D488" s="147"/>
      <c r="E488" s="44"/>
    </row>
    <row r="489">
      <c r="A489" s="148"/>
      <c r="B489" s="139"/>
      <c r="C489" s="52"/>
      <c r="D489" s="147"/>
      <c r="E489" s="44"/>
    </row>
    <row r="490">
      <c r="A490" s="148"/>
      <c r="B490" s="139"/>
      <c r="C490" s="52"/>
      <c r="D490" s="147"/>
      <c r="E490" s="44"/>
    </row>
    <row r="491">
      <c r="A491" s="148"/>
      <c r="B491" s="139"/>
      <c r="C491" s="52"/>
      <c r="D491" s="147"/>
      <c r="E491" s="44"/>
    </row>
    <row r="492">
      <c r="A492" s="148"/>
      <c r="B492" s="139"/>
      <c r="C492" s="52"/>
      <c r="D492" s="147"/>
      <c r="E492" s="44"/>
    </row>
    <row r="493">
      <c r="A493" s="148"/>
      <c r="B493" s="139"/>
      <c r="C493" s="52"/>
      <c r="D493" s="147"/>
      <c r="E493" s="44"/>
    </row>
    <row r="494">
      <c r="A494" s="148"/>
      <c r="B494" s="139"/>
      <c r="C494" s="52"/>
      <c r="D494" s="147"/>
      <c r="E494" s="44"/>
    </row>
    <row r="495">
      <c r="A495" s="148"/>
      <c r="B495" s="139"/>
      <c r="C495" s="52"/>
      <c r="D495" s="147"/>
      <c r="E495" s="44"/>
    </row>
    <row r="496">
      <c r="A496" s="148"/>
      <c r="B496" s="139"/>
      <c r="C496" s="52"/>
      <c r="D496" s="147"/>
      <c r="E496" s="44"/>
    </row>
    <row r="497">
      <c r="A497" s="148"/>
      <c r="B497" s="139"/>
      <c r="C497" s="52"/>
      <c r="D497" s="147"/>
      <c r="E497" s="44"/>
    </row>
    <row r="498">
      <c r="A498" s="148"/>
      <c r="B498" s="139"/>
      <c r="C498" s="52"/>
      <c r="D498" s="147"/>
      <c r="E498" s="44"/>
    </row>
    <row r="499">
      <c r="A499" s="148"/>
      <c r="B499" s="139"/>
      <c r="C499" s="52"/>
      <c r="D499" s="147"/>
      <c r="E499" s="44"/>
    </row>
    <row r="500">
      <c r="A500" s="148"/>
      <c r="B500" s="139"/>
      <c r="C500" s="52"/>
      <c r="D500" s="147"/>
      <c r="E500" s="44"/>
    </row>
    <row r="501">
      <c r="A501" s="148"/>
      <c r="B501" s="139"/>
      <c r="C501" s="52"/>
      <c r="D501" s="147"/>
      <c r="E501" s="44"/>
    </row>
    <row r="502">
      <c r="A502" s="148"/>
      <c r="B502" s="139"/>
      <c r="C502" s="52"/>
      <c r="D502" s="147"/>
      <c r="E502" s="44"/>
    </row>
    <row r="503">
      <c r="A503" s="148"/>
      <c r="B503" s="139"/>
      <c r="C503" s="52"/>
      <c r="D503" s="147"/>
      <c r="E503" s="44"/>
    </row>
    <row r="504">
      <c r="A504" s="148"/>
      <c r="B504" s="139"/>
      <c r="C504" s="52"/>
      <c r="D504" s="147"/>
      <c r="E504" s="44"/>
    </row>
    <row r="505">
      <c r="A505" s="148"/>
      <c r="B505" s="139"/>
      <c r="C505" s="52"/>
      <c r="D505" s="147"/>
      <c r="E505" s="44"/>
    </row>
    <row r="506">
      <c r="A506" s="148"/>
      <c r="B506" s="139"/>
      <c r="C506" s="52"/>
      <c r="D506" s="147"/>
      <c r="E506" s="44"/>
    </row>
    <row r="507">
      <c r="A507" s="148"/>
      <c r="B507" s="139"/>
      <c r="C507" s="52"/>
      <c r="D507" s="147"/>
      <c r="E507" s="44"/>
    </row>
    <row r="508">
      <c r="A508" s="148"/>
      <c r="B508" s="139"/>
      <c r="C508" s="52"/>
      <c r="D508" s="147"/>
      <c r="E508" s="44"/>
    </row>
    <row r="509">
      <c r="A509" s="148"/>
      <c r="B509" s="139"/>
      <c r="C509" s="52"/>
      <c r="D509" s="147"/>
      <c r="E509" s="44"/>
    </row>
    <row r="510">
      <c r="A510" s="148"/>
      <c r="B510" s="139"/>
      <c r="C510" s="52"/>
      <c r="D510" s="147"/>
      <c r="E510" s="44"/>
    </row>
    <row r="511">
      <c r="A511" s="148"/>
      <c r="B511" s="139"/>
      <c r="C511" s="52"/>
      <c r="D511" s="147"/>
      <c r="E511" s="44"/>
    </row>
    <row r="512">
      <c r="A512" s="148"/>
      <c r="B512" s="139"/>
      <c r="C512" s="52"/>
      <c r="D512" s="147"/>
      <c r="E512" s="44"/>
    </row>
    <row r="513">
      <c r="A513" s="148"/>
      <c r="B513" s="139"/>
      <c r="C513" s="52"/>
      <c r="D513" s="147"/>
      <c r="E513" s="44"/>
    </row>
    <row r="514">
      <c r="A514" s="148"/>
      <c r="B514" s="139"/>
      <c r="C514" s="52"/>
      <c r="D514" s="147"/>
      <c r="E514" s="44"/>
    </row>
    <row r="515">
      <c r="A515" s="148"/>
      <c r="B515" s="139"/>
      <c r="C515" s="52"/>
      <c r="D515" s="147"/>
      <c r="E515" s="44"/>
    </row>
    <row r="516">
      <c r="A516" s="148"/>
      <c r="B516" s="139"/>
      <c r="C516" s="52"/>
      <c r="D516" s="147"/>
      <c r="E516" s="44"/>
    </row>
    <row r="517">
      <c r="A517" s="148"/>
      <c r="B517" s="139"/>
      <c r="C517" s="52"/>
      <c r="D517" s="147"/>
      <c r="E517" s="44"/>
    </row>
    <row r="518">
      <c r="A518" s="148"/>
      <c r="B518" s="139"/>
      <c r="C518" s="52"/>
      <c r="D518" s="147"/>
      <c r="E518" s="44"/>
    </row>
    <row r="519">
      <c r="A519" s="148"/>
      <c r="B519" s="139"/>
      <c r="C519" s="52"/>
      <c r="D519" s="147"/>
      <c r="E519" s="44"/>
    </row>
    <row r="520">
      <c r="A520" s="148"/>
      <c r="B520" s="139"/>
      <c r="C520" s="52"/>
      <c r="D520" s="147"/>
      <c r="E520" s="44"/>
    </row>
    <row r="521">
      <c r="A521" s="148"/>
      <c r="B521" s="139"/>
      <c r="C521" s="52"/>
      <c r="D521" s="147"/>
      <c r="E521" s="44"/>
    </row>
    <row r="522">
      <c r="A522" s="148"/>
      <c r="B522" s="139"/>
      <c r="C522" s="52"/>
      <c r="D522" s="147"/>
      <c r="E522" s="44"/>
    </row>
    <row r="523">
      <c r="A523" s="148"/>
      <c r="B523" s="139"/>
      <c r="C523" s="52"/>
      <c r="D523" s="147"/>
      <c r="E523" s="44"/>
    </row>
    <row r="524">
      <c r="A524" s="148"/>
      <c r="B524" s="139"/>
      <c r="C524" s="52"/>
      <c r="D524" s="147"/>
      <c r="E524" s="44"/>
    </row>
    <row r="525">
      <c r="A525" s="148"/>
      <c r="B525" s="139"/>
      <c r="C525" s="52"/>
      <c r="D525" s="147"/>
      <c r="E525" s="44"/>
    </row>
    <row r="526">
      <c r="A526" s="148"/>
      <c r="B526" s="139"/>
      <c r="C526" s="52"/>
      <c r="D526" s="147"/>
      <c r="E526" s="44"/>
    </row>
    <row r="527">
      <c r="A527" s="148"/>
      <c r="B527" s="139"/>
      <c r="C527" s="52"/>
      <c r="D527" s="147"/>
      <c r="E527" s="44"/>
    </row>
    <row r="528">
      <c r="A528" s="148"/>
      <c r="B528" s="139"/>
      <c r="C528" s="52"/>
      <c r="D528" s="147"/>
      <c r="E528" s="44"/>
    </row>
    <row r="529">
      <c r="A529" s="148"/>
      <c r="B529" s="139"/>
      <c r="C529" s="52"/>
      <c r="D529" s="147"/>
      <c r="E529" s="44"/>
    </row>
    <row r="530">
      <c r="A530" s="148"/>
      <c r="B530" s="139"/>
      <c r="C530" s="52"/>
      <c r="D530" s="147"/>
      <c r="E530" s="44"/>
    </row>
    <row r="531">
      <c r="A531" s="148"/>
      <c r="B531" s="139"/>
      <c r="C531" s="52"/>
      <c r="D531" s="147"/>
      <c r="E531" s="44"/>
    </row>
    <row r="532">
      <c r="A532" s="148"/>
      <c r="B532" s="139"/>
      <c r="C532" s="52"/>
      <c r="D532" s="147"/>
      <c r="E532" s="44"/>
    </row>
    <row r="533">
      <c r="A533" s="148"/>
      <c r="B533" s="139"/>
      <c r="C533" s="52"/>
      <c r="D533" s="147"/>
      <c r="E533" s="44"/>
    </row>
    <row r="534">
      <c r="A534" s="148"/>
      <c r="B534" s="139"/>
      <c r="C534" s="52"/>
      <c r="D534" s="147"/>
      <c r="E534" s="44"/>
    </row>
    <row r="535">
      <c r="A535" s="148"/>
      <c r="B535" s="139"/>
      <c r="C535" s="52"/>
      <c r="D535" s="147"/>
      <c r="E535" s="44"/>
    </row>
    <row r="536">
      <c r="A536" s="148"/>
      <c r="B536" s="139"/>
      <c r="C536" s="52"/>
      <c r="D536" s="147"/>
      <c r="E536" s="44"/>
    </row>
    <row r="537">
      <c r="A537" s="148"/>
      <c r="B537" s="139"/>
      <c r="C537" s="52"/>
      <c r="D537" s="147"/>
      <c r="E537" s="44"/>
    </row>
    <row r="538">
      <c r="A538" s="148"/>
      <c r="B538" s="139"/>
      <c r="C538" s="52"/>
      <c r="D538" s="147"/>
      <c r="E538" s="44"/>
    </row>
    <row r="539">
      <c r="A539" s="148"/>
      <c r="B539" s="139"/>
      <c r="C539" s="52"/>
      <c r="D539" s="147"/>
      <c r="E539" s="44"/>
    </row>
    <row r="540">
      <c r="A540" s="148"/>
      <c r="B540" s="139"/>
      <c r="C540" s="52"/>
      <c r="D540" s="147"/>
      <c r="E540" s="44"/>
    </row>
    <row r="541">
      <c r="A541" s="148"/>
      <c r="B541" s="139"/>
      <c r="C541" s="52"/>
      <c r="D541" s="147"/>
      <c r="E541" s="44"/>
    </row>
    <row r="542">
      <c r="A542" s="148"/>
      <c r="B542" s="139"/>
      <c r="C542" s="52"/>
      <c r="D542" s="147"/>
      <c r="E542" s="44"/>
    </row>
    <row r="543">
      <c r="A543" s="148"/>
      <c r="B543" s="139"/>
      <c r="C543" s="52"/>
      <c r="D543" s="147"/>
      <c r="E543" s="44"/>
    </row>
    <row r="544">
      <c r="A544" s="148"/>
      <c r="B544" s="139"/>
      <c r="C544" s="52"/>
      <c r="D544" s="147"/>
      <c r="E544" s="44"/>
    </row>
    <row r="545">
      <c r="A545" s="148"/>
      <c r="B545" s="139"/>
      <c r="C545" s="52"/>
      <c r="D545" s="147"/>
      <c r="E545" s="44"/>
    </row>
    <row r="546">
      <c r="A546" s="148"/>
      <c r="B546" s="139"/>
      <c r="C546" s="52"/>
      <c r="D546" s="147"/>
      <c r="E546" s="44"/>
    </row>
    <row r="547">
      <c r="A547" s="148"/>
      <c r="B547" s="139"/>
      <c r="C547" s="52"/>
      <c r="D547" s="147"/>
      <c r="E547" s="44"/>
    </row>
    <row r="548">
      <c r="A548" s="148"/>
      <c r="B548" s="139"/>
      <c r="C548" s="52"/>
      <c r="D548" s="147"/>
      <c r="E548" s="44"/>
    </row>
    <row r="549">
      <c r="A549" s="148"/>
      <c r="B549" s="139"/>
      <c r="C549" s="52"/>
      <c r="D549" s="147"/>
      <c r="E549" s="44"/>
    </row>
    <row r="550">
      <c r="A550" s="148"/>
      <c r="B550" s="139"/>
      <c r="C550" s="52"/>
      <c r="D550" s="147"/>
      <c r="E550" s="44"/>
    </row>
    <row r="551">
      <c r="A551" s="148"/>
      <c r="B551" s="139"/>
      <c r="C551" s="52"/>
      <c r="D551" s="147"/>
      <c r="E551" s="44"/>
    </row>
    <row r="552">
      <c r="A552" s="148"/>
      <c r="B552" s="139"/>
      <c r="C552" s="52"/>
      <c r="D552" s="147"/>
      <c r="E552" s="44"/>
    </row>
    <row r="553">
      <c r="A553" s="148"/>
      <c r="B553" s="139"/>
      <c r="C553" s="52"/>
      <c r="D553" s="147"/>
      <c r="E553" s="44"/>
    </row>
    <row r="554">
      <c r="A554" s="148"/>
      <c r="B554" s="139"/>
      <c r="C554" s="52"/>
      <c r="D554" s="147"/>
      <c r="E554" s="44"/>
    </row>
    <row r="555">
      <c r="A555" s="148"/>
      <c r="B555" s="139"/>
      <c r="C555" s="52"/>
      <c r="D555" s="147"/>
      <c r="E555" s="44"/>
    </row>
    <row r="556">
      <c r="A556" s="148"/>
      <c r="B556" s="139"/>
      <c r="C556" s="52"/>
      <c r="D556" s="147"/>
      <c r="E556" s="44"/>
    </row>
    <row r="557">
      <c r="A557" s="148"/>
      <c r="B557" s="139"/>
      <c r="C557" s="52"/>
      <c r="D557" s="147"/>
      <c r="E557" s="44"/>
    </row>
    <row r="558">
      <c r="A558" s="148"/>
      <c r="B558" s="139"/>
      <c r="C558" s="52"/>
      <c r="D558" s="147"/>
      <c r="E558" s="44"/>
    </row>
    <row r="559">
      <c r="A559" s="148"/>
      <c r="B559" s="139"/>
      <c r="C559" s="52"/>
      <c r="D559" s="147"/>
      <c r="E559" s="44"/>
    </row>
    <row r="560">
      <c r="A560" s="148"/>
      <c r="B560" s="139"/>
      <c r="C560" s="52"/>
      <c r="D560" s="147"/>
      <c r="E560" s="44"/>
    </row>
    <row r="561">
      <c r="A561" s="148"/>
      <c r="B561" s="139"/>
      <c r="C561" s="52"/>
      <c r="D561" s="147"/>
      <c r="E561" s="44"/>
    </row>
    <row r="562">
      <c r="A562" s="148"/>
      <c r="B562" s="139"/>
      <c r="C562" s="52"/>
      <c r="D562" s="147"/>
      <c r="E562" s="44"/>
    </row>
    <row r="563">
      <c r="A563" s="148"/>
      <c r="B563" s="139"/>
      <c r="C563" s="52"/>
      <c r="D563" s="147"/>
      <c r="E563" s="44"/>
    </row>
    <row r="564">
      <c r="A564" s="148"/>
      <c r="B564" s="139"/>
      <c r="C564" s="52"/>
      <c r="D564" s="147"/>
      <c r="E564" s="44"/>
    </row>
    <row r="565">
      <c r="A565" s="148"/>
      <c r="B565" s="139"/>
      <c r="C565" s="52"/>
      <c r="D565" s="147"/>
      <c r="E565" s="44"/>
    </row>
    <row r="566">
      <c r="A566" s="148"/>
      <c r="B566" s="139"/>
      <c r="C566" s="52"/>
      <c r="D566" s="147"/>
      <c r="E566" s="44"/>
    </row>
    <row r="567">
      <c r="A567" s="148"/>
      <c r="B567" s="139"/>
      <c r="C567" s="52"/>
      <c r="D567" s="147"/>
      <c r="E567" s="44"/>
    </row>
    <row r="568">
      <c r="A568" s="148"/>
      <c r="B568" s="139"/>
      <c r="C568" s="52"/>
      <c r="D568" s="147"/>
      <c r="E568" s="44"/>
    </row>
    <row r="569">
      <c r="A569" s="148"/>
      <c r="B569" s="139"/>
      <c r="C569" s="52"/>
      <c r="D569" s="147"/>
      <c r="E569" s="44"/>
    </row>
    <row r="570">
      <c r="A570" s="148"/>
      <c r="B570" s="139"/>
      <c r="C570" s="52"/>
      <c r="D570" s="147"/>
      <c r="E570" s="44"/>
    </row>
    <row r="571">
      <c r="A571" s="148"/>
      <c r="B571" s="139"/>
      <c r="C571" s="52"/>
      <c r="D571" s="147"/>
      <c r="E571" s="44"/>
    </row>
    <row r="572">
      <c r="A572" s="148"/>
      <c r="B572" s="139"/>
      <c r="C572" s="52"/>
      <c r="D572" s="147"/>
      <c r="E572" s="44"/>
    </row>
    <row r="573">
      <c r="A573" s="148"/>
      <c r="B573" s="139"/>
      <c r="C573" s="52"/>
      <c r="D573" s="147"/>
      <c r="E573" s="44"/>
    </row>
    <row r="574">
      <c r="A574" s="148"/>
      <c r="B574" s="139"/>
      <c r="C574" s="52"/>
      <c r="D574" s="147"/>
      <c r="E574" s="44"/>
    </row>
    <row r="575">
      <c r="A575" s="148"/>
      <c r="B575" s="139"/>
      <c r="C575" s="52"/>
      <c r="D575" s="147"/>
      <c r="E575" s="44"/>
    </row>
    <row r="576">
      <c r="A576" s="148"/>
      <c r="B576" s="139"/>
      <c r="C576" s="52"/>
      <c r="D576" s="147"/>
      <c r="E576" s="44"/>
    </row>
    <row r="577">
      <c r="A577" s="148"/>
      <c r="B577" s="139"/>
      <c r="C577" s="52"/>
      <c r="D577" s="147"/>
      <c r="E577" s="44"/>
    </row>
    <row r="578">
      <c r="A578" s="148"/>
      <c r="B578" s="139"/>
      <c r="C578" s="52"/>
      <c r="D578" s="147"/>
      <c r="E578" s="44"/>
    </row>
    <row r="579">
      <c r="A579" s="148"/>
      <c r="B579" s="139"/>
      <c r="C579" s="52"/>
      <c r="D579" s="147"/>
      <c r="E579" s="44"/>
    </row>
    <row r="580">
      <c r="A580" s="148"/>
      <c r="B580" s="139"/>
      <c r="C580" s="52"/>
      <c r="D580" s="147"/>
      <c r="E580" s="44"/>
    </row>
    <row r="581">
      <c r="A581" s="148"/>
      <c r="B581" s="139"/>
      <c r="C581" s="52"/>
      <c r="D581" s="147"/>
      <c r="E581" s="44"/>
    </row>
    <row r="582">
      <c r="A582" s="148"/>
      <c r="B582" s="139"/>
      <c r="C582" s="52"/>
      <c r="D582" s="147"/>
      <c r="E582" s="44"/>
    </row>
    <row r="583">
      <c r="A583" s="148"/>
      <c r="B583" s="139"/>
      <c r="C583" s="52"/>
      <c r="D583" s="147"/>
      <c r="E583" s="44"/>
    </row>
    <row r="584">
      <c r="A584" s="148"/>
      <c r="B584" s="139"/>
      <c r="C584" s="52"/>
      <c r="D584" s="147"/>
      <c r="E584" s="44"/>
    </row>
    <row r="585">
      <c r="A585" s="148"/>
      <c r="B585" s="139"/>
      <c r="C585" s="52"/>
      <c r="D585" s="147"/>
      <c r="E585" s="44"/>
    </row>
    <row r="586">
      <c r="A586" s="148"/>
      <c r="B586" s="139"/>
      <c r="C586" s="52"/>
      <c r="D586" s="147"/>
      <c r="E586" s="44"/>
    </row>
    <row r="587">
      <c r="A587" s="148"/>
      <c r="B587" s="139"/>
      <c r="C587" s="52"/>
      <c r="D587" s="147"/>
      <c r="E587" s="44"/>
    </row>
    <row r="588">
      <c r="A588" s="148"/>
      <c r="B588" s="139"/>
      <c r="C588" s="52"/>
      <c r="D588" s="147"/>
      <c r="E588" s="44"/>
    </row>
    <row r="589">
      <c r="A589" s="148"/>
      <c r="B589" s="139"/>
      <c r="C589" s="52"/>
      <c r="D589" s="147"/>
      <c r="E589" s="44"/>
    </row>
    <row r="590">
      <c r="A590" s="148"/>
      <c r="B590" s="139"/>
      <c r="C590" s="52"/>
      <c r="D590" s="147"/>
      <c r="E590" s="44"/>
    </row>
    <row r="591">
      <c r="A591" s="148"/>
      <c r="B591" s="139"/>
      <c r="C591" s="52"/>
      <c r="D591" s="147"/>
      <c r="E591" s="44"/>
    </row>
    <row r="592">
      <c r="A592" s="148"/>
      <c r="B592" s="139"/>
      <c r="C592" s="52"/>
      <c r="D592" s="147"/>
      <c r="E592" s="44"/>
    </row>
    <row r="593">
      <c r="A593" s="148"/>
      <c r="B593" s="139"/>
      <c r="C593" s="52"/>
      <c r="D593" s="147"/>
      <c r="E593" s="44"/>
    </row>
    <row r="594">
      <c r="A594" s="148"/>
      <c r="B594" s="139"/>
      <c r="C594" s="52"/>
      <c r="D594" s="147"/>
      <c r="E594" s="44"/>
    </row>
    <row r="595">
      <c r="A595" s="148"/>
      <c r="B595" s="139"/>
      <c r="C595" s="52"/>
      <c r="D595" s="147"/>
      <c r="E595" s="44"/>
    </row>
    <row r="596">
      <c r="A596" s="148"/>
      <c r="B596" s="139"/>
      <c r="C596" s="52"/>
      <c r="D596" s="147"/>
      <c r="E596" s="44"/>
    </row>
    <row r="597">
      <c r="A597" s="148"/>
      <c r="B597" s="139"/>
      <c r="C597" s="52"/>
      <c r="D597" s="147"/>
      <c r="E597" s="44"/>
    </row>
    <row r="598">
      <c r="A598" s="148"/>
      <c r="B598" s="139"/>
      <c r="C598" s="52"/>
      <c r="D598" s="147"/>
      <c r="E598" s="44"/>
    </row>
    <row r="599">
      <c r="A599" s="148"/>
      <c r="B599" s="139"/>
      <c r="C599" s="52"/>
      <c r="D599" s="147"/>
      <c r="E599" s="44"/>
    </row>
    <row r="600">
      <c r="A600" s="148"/>
      <c r="B600" s="139"/>
      <c r="C600" s="52"/>
      <c r="D600" s="147"/>
      <c r="E600" s="44"/>
    </row>
    <row r="601">
      <c r="A601" s="148"/>
      <c r="B601" s="139"/>
      <c r="C601" s="52"/>
      <c r="D601" s="147"/>
      <c r="E601" s="44"/>
    </row>
    <row r="602">
      <c r="A602" s="148"/>
      <c r="B602" s="139"/>
      <c r="C602" s="52"/>
      <c r="D602" s="147"/>
      <c r="E602" s="44"/>
    </row>
    <row r="603">
      <c r="A603" s="148"/>
      <c r="B603" s="139"/>
      <c r="C603" s="52"/>
      <c r="D603" s="147"/>
      <c r="E603" s="44"/>
    </row>
    <row r="604">
      <c r="A604" s="148"/>
      <c r="B604" s="139"/>
      <c r="C604" s="52"/>
      <c r="D604" s="147"/>
      <c r="E604" s="44"/>
    </row>
    <row r="605">
      <c r="A605" s="148"/>
      <c r="B605" s="139"/>
      <c r="C605" s="52"/>
      <c r="D605" s="147"/>
      <c r="E605" s="44"/>
    </row>
    <row r="606">
      <c r="A606" s="148"/>
      <c r="B606" s="139"/>
      <c r="C606" s="52"/>
      <c r="D606" s="147"/>
      <c r="E606" s="44"/>
    </row>
    <row r="607">
      <c r="A607" s="148"/>
      <c r="B607" s="139"/>
      <c r="C607" s="52"/>
      <c r="D607" s="147"/>
      <c r="E607" s="44"/>
    </row>
    <row r="608">
      <c r="A608" s="148"/>
      <c r="B608" s="139"/>
      <c r="C608" s="52"/>
      <c r="D608" s="147"/>
      <c r="E608" s="44"/>
    </row>
    <row r="609">
      <c r="A609" s="148"/>
      <c r="B609" s="139"/>
      <c r="C609" s="52"/>
      <c r="D609" s="147"/>
      <c r="E609" s="44"/>
    </row>
    <row r="610">
      <c r="A610" s="148"/>
      <c r="B610" s="139"/>
      <c r="C610" s="52"/>
      <c r="D610" s="147"/>
      <c r="E610" s="44"/>
    </row>
    <row r="611">
      <c r="A611" s="148"/>
      <c r="B611" s="139"/>
      <c r="C611" s="52"/>
      <c r="D611" s="147"/>
      <c r="E611" s="44"/>
    </row>
    <row r="612">
      <c r="A612" s="148"/>
      <c r="B612" s="139"/>
      <c r="C612" s="52"/>
      <c r="D612" s="147"/>
      <c r="E612" s="44"/>
    </row>
    <row r="613">
      <c r="A613" s="148"/>
      <c r="B613" s="139"/>
      <c r="C613" s="52"/>
      <c r="D613" s="147"/>
      <c r="E613" s="44"/>
    </row>
    <row r="614">
      <c r="A614" s="148"/>
      <c r="B614" s="139"/>
      <c r="C614" s="52"/>
      <c r="D614" s="147"/>
      <c r="E614" s="44"/>
    </row>
    <row r="615">
      <c r="A615" s="148"/>
      <c r="B615" s="139"/>
      <c r="C615" s="52"/>
      <c r="D615" s="147"/>
      <c r="E615" s="44"/>
    </row>
    <row r="616">
      <c r="A616" s="148"/>
      <c r="B616" s="139"/>
      <c r="C616" s="52"/>
      <c r="D616" s="147"/>
      <c r="E616" s="44"/>
    </row>
    <row r="617">
      <c r="A617" s="148"/>
      <c r="B617" s="139"/>
      <c r="C617" s="52"/>
      <c r="D617" s="147"/>
      <c r="E617" s="44"/>
    </row>
    <row r="618">
      <c r="A618" s="148"/>
      <c r="B618" s="139"/>
      <c r="C618" s="52"/>
      <c r="D618" s="147"/>
      <c r="E618" s="44"/>
    </row>
    <row r="619">
      <c r="A619" s="148"/>
      <c r="B619" s="139"/>
      <c r="C619" s="52"/>
      <c r="D619" s="147"/>
      <c r="E619" s="44"/>
    </row>
    <row r="620">
      <c r="A620" s="148"/>
      <c r="B620" s="139"/>
      <c r="C620" s="52"/>
      <c r="D620" s="147"/>
      <c r="E620" s="44"/>
    </row>
    <row r="621">
      <c r="A621" s="148"/>
      <c r="B621" s="139"/>
      <c r="C621" s="52"/>
      <c r="D621" s="147"/>
      <c r="E621" s="44"/>
    </row>
    <row r="622">
      <c r="A622" s="148"/>
      <c r="B622" s="139"/>
      <c r="C622" s="52"/>
      <c r="D622" s="147"/>
      <c r="E622" s="44"/>
    </row>
    <row r="623">
      <c r="A623" s="148"/>
      <c r="B623" s="139"/>
      <c r="C623" s="52"/>
      <c r="D623" s="147"/>
      <c r="E623" s="44"/>
    </row>
    <row r="624">
      <c r="A624" s="148"/>
      <c r="B624" s="139"/>
      <c r="C624" s="52"/>
      <c r="D624" s="147"/>
      <c r="E624" s="44"/>
    </row>
    <row r="625">
      <c r="A625" s="148"/>
      <c r="B625" s="139"/>
      <c r="C625" s="52"/>
      <c r="D625" s="147"/>
      <c r="E625" s="44"/>
    </row>
    <row r="626">
      <c r="A626" s="148"/>
      <c r="B626" s="139"/>
      <c r="C626" s="52"/>
      <c r="D626" s="147"/>
      <c r="E626" s="44"/>
    </row>
    <row r="627">
      <c r="A627" s="148"/>
      <c r="B627" s="139"/>
      <c r="C627" s="52"/>
      <c r="D627" s="147"/>
      <c r="E627" s="44"/>
    </row>
    <row r="628">
      <c r="A628" s="148"/>
      <c r="B628" s="139"/>
      <c r="C628" s="52"/>
      <c r="D628" s="147"/>
      <c r="E628" s="44"/>
    </row>
    <row r="629">
      <c r="A629" s="148"/>
      <c r="B629" s="139"/>
      <c r="C629" s="52"/>
      <c r="D629" s="147"/>
      <c r="E629" s="44"/>
    </row>
    <row r="630">
      <c r="A630" s="148"/>
      <c r="B630" s="139"/>
      <c r="C630" s="52"/>
      <c r="D630" s="147"/>
      <c r="E630" s="44"/>
    </row>
    <row r="631">
      <c r="A631" s="148"/>
      <c r="B631" s="139"/>
      <c r="C631" s="52"/>
      <c r="D631" s="147"/>
      <c r="E631" s="44"/>
    </row>
    <row r="632">
      <c r="A632" s="148"/>
      <c r="B632" s="139"/>
      <c r="C632" s="52"/>
      <c r="D632" s="147"/>
      <c r="E632" s="44"/>
    </row>
    <row r="633">
      <c r="A633" s="148"/>
      <c r="B633" s="139"/>
      <c r="C633" s="52"/>
      <c r="D633" s="147"/>
      <c r="E633" s="44"/>
    </row>
    <row r="634">
      <c r="A634" s="148"/>
      <c r="B634" s="139"/>
      <c r="C634" s="52"/>
      <c r="D634" s="147"/>
      <c r="E634" s="44"/>
    </row>
    <row r="635">
      <c r="A635" s="148"/>
      <c r="B635" s="139"/>
      <c r="C635" s="52"/>
      <c r="D635" s="147"/>
      <c r="E635" s="44"/>
    </row>
    <row r="636">
      <c r="A636" s="148"/>
      <c r="B636" s="139"/>
      <c r="C636" s="52"/>
      <c r="D636" s="147"/>
      <c r="E636" s="44"/>
    </row>
    <row r="637">
      <c r="A637" s="148"/>
      <c r="B637" s="139"/>
      <c r="C637" s="52"/>
      <c r="D637" s="147"/>
      <c r="E637" s="44"/>
    </row>
    <row r="638">
      <c r="A638" s="148"/>
      <c r="B638" s="139"/>
      <c r="C638" s="52"/>
      <c r="D638" s="147"/>
      <c r="E638" s="44"/>
    </row>
    <row r="639">
      <c r="A639" s="148"/>
      <c r="B639" s="139"/>
      <c r="C639" s="52"/>
      <c r="D639" s="147"/>
      <c r="E639" s="44"/>
    </row>
    <row r="640">
      <c r="A640" s="148"/>
      <c r="B640" s="139"/>
      <c r="C640" s="52"/>
      <c r="D640" s="147"/>
      <c r="E640" s="44"/>
    </row>
    <row r="641">
      <c r="A641" s="148"/>
      <c r="B641" s="139"/>
      <c r="C641" s="52"/>
      <c r="D641" s="147"/>
      <c r="E641" s="44"/>
    </row>
    <row r="642">
      <c r="A642" s="148"/>
      <c r="B642" s="139"/>
      <c r="C642" s="52"/>
      <c r="D642" s="147"/>
      <c r="E642" s="44"/>
    </row>
    <row r="643">
      <c r="A643" s="148"/>
      <c r="B643" s="139"/>
      <c r="C643" s="52"/>
      <c r="D643" s="147"/>
      <c r="E643" s="44"/>
    </row>
    <row r="644">
      <c r="A644" s="148"/>
      <c r="B644" s="139"/>
      <c r="C644" s="52"/>
      <c r="D644" s="147"/>
      <c r="E644" s="44"/>
    </row>
    <row r="645">
      <c r="A645" s="148"/>
      <c r="B645" s="139"/>
      <c r="C645" s="52"/>
      <c r="D645" s="147"/>
      <c r="E645" s="44"/>
    </row>
    <row r="646">
      <c r="A646" s="148"/>
      <c r="B646" s="139"/>
      <c r="C646" s="52"/>
      <c r="D646" s="147"/>
      <c r="E646" s="44"/>
    </row>
    <row r="647">
      <c r="A647" s="148"/>
      <c r="B647" s="139"/>
      <c r="C647" s="52"/>
      <c r="D647" s="147"/>
      <c r="E647" s="44"/>
    </row>
    <row r="648">
      <c r="A648" s="148"/>
      <c r="B648" s="139"/>
      <c r="C648" s="52"/>
      <c r="D648" s="147"/>
      <c r="E648" s="44"/>
    </row>
    <row r="649">
      <c r="A649" s="148"/>
      <c r="B649" s="139"/>
      <c r="C649" s="52"/>
      <c r="D649" s="147"/>
      <c r="E649" s="44"/>
    </row>
    <row r="650">
      <c r="A650" s="148"/>
      <c r="B650" s="139"/>
      <c r="C650" s="52"/>
      <c r="D650" s="147"/>
      <c r="E650" s="44"/>
    </row>
    <row r="651">
      <c r="A651" s="148"/>
      <c r="B651" s="139"/>
      <c r="C651" s="52"/>
      <c r="D651" s="147"/>
      <c r="E651" s="44"/>
    </row>
    <row r="652">
      <c r="A652" s="148"/>
      <c r="B652" s="139"/>
      <c r="C652" s="52"/>
      <c r="D652" s="147"/>
      <c r="E652" s="44"/>
    </row>
    <row r="653">
      <c r="A653" s="148"/>
      <c r="B653" s="139"/>
      <c r="C653" s="52"/>
      <c r="D653" s="147"/>
      <c r="E653" s="44"/>
    </row>
    <row r="654">
      <c r="A654" s="148"/>
      <c r="B654" s="139"/>
      <c r="C654" s="52"/>
      <c r="D654" s="147"/>
      <c r="E654" s="44"/>
    </row>
    <row r="655">
      <c r="A655" s="148"/>
      <c r="B655" s="139"/>
      <c r="C655" s="52"/>
      <c r="D655" s="147"/>
      <c r="E655" s="44"/>
    </row>
    <row r="656">
      <c r="A656" s="148"/>
      <c r="B656" s="139"/>
      <c r="C656" s="52"/>
      <c r="D656" s="147"/>
      <c r="E656" s="44"/>
    </row>
    <row r="657">
      <c r="A657" s="148"/>
      <c r="B657" s="139"/>
      <c r="C657" s="52"/>
      <c r="D657" s="147"/>
      <c r="E657" s="44"/>
    </row>
    <row r="658">
      <c r="A658" s="148"/>
      <c r="B658" s="139"/>
      <c r="C658" s="52"/>
      <c r="D658" s="147"/>
      <c r="E658" s="44"/>
    </row>
    <row r="659">
      <c r="A659" s="148"/>
      <c r="B659" s="139"/>
      <c r="C659" s="52"/>
      <c r="D659" s="147"/>
      <c r="E659" s="44"/>
    </row>
    <row r="660">
      <c r="A660" s="148"/>
      <c r="B660" s="139"/>
      <c r="C660" s="52"/>
      <c r="D660" s="147"/>
      <c r="E660" s="44"/>
    </row>
    <row r="661">
      <c r="A661" s="148"/>
      <c r="B661" s="139"/>
      <c r="C661" s="52"/>
      <c r="D661" s="147"/>
      <c r="E661" s="44"/>
    </row>
    <row r="662">
      <c r="A662" s="148"/>
      <c r="B662" s="139"/>
      <c r="C662" s="52"/>
      <c r="D662" s="147"/>
      <c r="E662" s="44"/>
    </row>
    <row r="663">
      <c r="A663" s="148"/>
      <c r="B663" s="139"/>
      <c r="C663" s="52"/>
      <c r="D663" s="147"/>
      <c r="E663" s="44"/>
    </row>
    <row r="664">
      <c r="A664" s="148"/>
      <c r="B664" s="139"/>
      <c r="C664" s="52"/>
      <c r="D664" s="147"/>
      <c r="E664" s="44"/>
    </row>
    <row r="665">
      <c r="A665" s="148"/>
      <c r="B665" s="139"/>
      <c r="C665" s="52"/>
      <c r="D665" s="147"/>
      <c r="E665" s="44"/>
    </row>
    <row r="666">
      <c r="A666" s="148"/>
      <c r="B666" s="139"/>
      <c r="C666" s="52"/>
      <c r="D666" s="147"/>
      <c r="E666" s="44"/>
    </row>
    <row r="667">
      <c r="A667" s="148"/>
      <c r="B667" s="139"/>
      <c r="C667" s="52"/>
      <c r="D667" s="147"/>
      <c r="E667" s="44"/>
    </row>
    <row r="668">
      <c r="A668" s="148"/>
      <c r="B668" s="139"/>
      <c r="C668" s="52"/>
      <c r="D668" s="147"/>
      <c r="E668" s="44"/>
    </row>
    <row r="669">
      <c r="A669" s="148"/>
      <c r="B669" s="139"/>
      <c r="C669" s="52"/>
      <c r="D669" s="147"/>
      <c r="E669" s="44"/>
    </row>
    <row r="670">
      <c r="A670" s="148"/>
      <c r="B670" s="139"/>
      <c r="C670" s="52"/>
      <c r="D670" s="147"/>
      <c r="E670" s="44"/>
    </row>
    <row r="671">
      <c r="A671" s="148"/>
      <c r="B671" s="139"/>
      <c r="C671" s="52"/>
      <c r="D671" s="147"/>
      <c r="E671" s="44"/>
    </row>
    <row r="672">
      <c r="A672" s="148"/>
      <c r="B672" s="139"/>
      <c r="C672" s="52"/>
      <c r="D672" s="147"/>
      <c r="E672" s="44"/>
    </row>
    <row r="673">
      <c r="A673" s="148"/>
      <c r="B673" s="139"/>
      <c r="C673" s="52"/>
      <c r="D673" s="147"/>
      <c r="E673" s="44"/>
    </row>
    <row r="674">
      <c r="A674" s="148"/>
      <c r="B674" s="139"/>
      <c r="C674" s="52"/>
      <c r="D674" s="147"/>
      <c r="E674" s="44"/>
    </row>
    <row r="675">
      <c r="A675" s="148"/>
      <c r="B675" s="139"/>
      <c r="C675" s="52"/>
      <c r="D675" s="147"/>
      <c r="E675" s="44"/>
    </row>
    <row r="676">
      <c r="A676" s="148"/>
      <c r="B676" s="139"/>
      <c r="C676" s="52"/>
      <c r="D676" s="147"/>
      <c r="E676" s="44"/>
    </row>
    <row r="677">
      <c r="A677" s="148"/>
      <c r="B677" s="139"/>
      <c r="C677" s="52"/>
      <c r="D677" s="147"/>
      <c r="E677" s="44"/>
    </row>
    <row r="678">
      <c r="A678" s="148"/>
      <c r="B678" s="139"/>
      <c r="C678" s="52"/>
      <c r="D678" s="147"/>
      <c r="E678" s="44"/>
    </row>
    <row r="679">
      <c r="A679" s="148"/>
      <c r="B679" s="139"/>
      <c r="C679" s="52"/>
      <c r="D679" s="147"/>
      <c r="E679" s="44"/>
    </row>
    <row r="680">
      <c r="A680" s="148"/>
      <c r="B680" s="139"/>
      <c r="C680" s="52"/>
      <c r="D680" s="147"/>
      <c r="E680" s="44"/>
    </row>
    <row r="681">
      <c r="A681" s="148"/>
      <c r="B681" s="139"/>
      <c r="C681" s="52"/>
      <c r="D681" s="147"/>
      <c r="E681" s="44"/>
    </row>
    <row r="682">
      <c r="A682" s="148"/>
      <c r="B682" s="139"/>
      <c r="C682" s="52"/>
      <c r="D682" s="147"/>
      <c r="E682" s="44"/>
    </row>
    <row r="683">
      <c r="A683" s="148"/>
      <c r="B683" s="139"/>
      <c r="C683" s="52"/>
      <c r="D683" s="147"/>
      <c r="E683" s="44"/>
    </row>
    <row r="684">
      <c r="A684" s="148"/>
      <c r="B684" s="139"/>
      <c r="C684" s="52"/>
      <c r="D684" s="147"/>
      <c r="E684" s="44"/>
    </row>
    <row r="685">
      <c r="A685" s="148"/>
      <c r="B685" s="139"/>
      <c r="C685" s="52"/>
      <c r="D685" s="147"/>
      <c r="E685" s="44"/>
    </row>
    <row r="686">
      <c r="A686" s="148"/>
      <c r="B686" s="139"/>
      <c r="C686" s="52"/>
      <c r="D686" s="147"/>
      <c r="E686" s="44"/>
    </row>
    <row r="687">
      <c r="A687" s="148"/>
      <c r="B687" s="139"/>
      <c r="C687" s="52"/>
      <c r="D687" s="147"/>
      <c r="E687" s="44"/>
    </row>
    <row r="688">
      <c r="A688" s="148"/>
      <c r="B688" s="139"/>
      <c r="C688" s="52"/>
      <c r="D688" s="147"/>
      <c r="E688" s="44"/>
    </row>
    <row r="689">
      <c r="A689" s="148"/>
      <c r="B689" s="139"/>
      <c r="C689" s="52"/>
      <c r="D689" s="147"/>
      <c r="E689" s="44"/>
    </row>
    <row r="690">
      <c r="A690" s="148"/>
      <c r="B690" s="139"/>
      <c r="C690" s="52"/>
      <c r="D690" s="147"/>
      <c r="E690" s="44"/>
    </row>
    <row r="691">
      <c r="A691" s="148"/>
      <c r="B691" s="139"/>
      <c r="C691" s="52"/>
      <c r="D691" s="147"/>
      <c r="E691" s="44"/>
    </row>
    <row r="692">
      <c r="A692" s="148"/>
      <c r="B692" s="139"/>
      <c r="C692" s="52"/>
      <c r="D692" s="147"/>
      <c r="E692" s="44"/>
    </row>
    <row r="693">
      <c r="A693" s="148"/>
      <c r="B693" s="139"/>
      <c r="C693" s="52"/>
      <c r="D693" s="147"/>
      <c r="E693" s="44"/>
    </row>
    <row r="694">
      <c r="A694" s="148"/>
      <c r="B694" s="139"/>
      <c r="C694" s="52"/>
      <c r="D694" s="147"/>
      <c r="E694" s="44"/>
    </row>
    <row r="695">
      <c r="A695" s="148"/>
      <c r="B695" s="139"/>
      <c r="C695" s="52"/>
      <c r="D695" s="147"/>
      <c r="E695" s="44"/>
    </row>
    <row r="696">
      <c r="A696" s="148"/>
      <c r="B696" s="139"/>
      <c r="C696" s="52"/>
      <c r="D696" s="147"/>
      <c r="E696" s="44"/>
    </row>
    <row r="697">
      <c r="A697" s="148"/>
      <c r="B697" s="139"/>
      <c r="C697" s="52"/>
      <c r="D697" s="147"/>
      <c r="E697" s="44"/>
    </row>
    <row r="698">
      <c r="A698" s="148"/>
      <c r="B698" s="139"/>
      <c r="C698" s="52"/>
      <c r="D698" s="147"/>
      <c r="E698" s="44"/>
    </row>
    <row r="699">
      <c r="A699" s="148"/>
      <c r="B699" s="139"/>
      <c r="C699" s="52"/>
      <c r="D699" s="147"/>
      <c r="E699" s="44"/>
    </row>
    <row r="700">
      <c r="A700" s="148"/>
      <c r="B700" s="139"/>
      <c r="C700" s="52"/>
      <c r="D700" s="147"/>
      <c r="E700" s="44"/>
    </row>
    <row r="701">
      <c r="A701" s="148"/>
      <c r="B701" s="139"/>
      <c r="C701" s="52"/>
      <c r="D701" s="147"/>
      <c r="E701" s="44"/>
    </row>
    <row r="702">
      <c r="A702" s="148"/>
      <c r="B702" s="139"/>
      <c r="C702" s="52"/>
      <c r="D702" s="147"/>
      <c r="E702" s="44"/>
    </row>
    <row r="703">
      <c r="A703" s="148"/>
      <c r="B703" s="139"/>
      <c r="C703" s="52"/>
      <c r="D703" s="147"/>
      <c r="E703" s="44"/>
    </row>
    <row r="704">
      <c r="A704" s="148"/>
      <c r="B704" s="139"/>
      <c r="C704" s="52"/>
      <c r="D704" s="147"/>
      <c r="E704" s="44"/>
    </row>
    <row r="705">
      <c r="A705" s="148"/>
      <c r="B705" s="139"/>
      <c r="C705" s="52"/>
      <c r="D705" s="147"/>
      <c r="E705" s="44"/>
    </row>
    <row r="706">
      <c r="A706" s="148"/>
      <c r="B706" s="139"/>
      <c r="C706" s="52"/>
      <c r="D706" s="147"/>
      <c r="E706" s="44"/>
    </row>
    <row r="707">
      <c r="A707" s="148"/>
      <c r="B707" s="139"/>
      <c r="C707" s="52"/>
      <c r="D707" s="147"/>
      <c r="E707" s="44"/>
    </row>
    <row r="708">
      <c r="A708" s="148"/>
      <c r="B708" s="139"/>
      <c r="C708" s="52"/>
      <c r="D708" s="147"/>
      <c r="E708" s="44"/>
    </row>
    <row r="709">
      <c r="A709" s="148"/>
      <c r="B709" s="139"/>
      <c r="C709" s="52"/>
      <c r="D709" s="147"/>
      <c r="E709" s="44"/>
    </row>
    <row r="710">
      <c r="A710" s="148"/>
      <c r="B710" s="139"/>
      <c r="C710" s="52"/>
      <c r="D710" s="147"/>
      <c r="E710" s="44"/>
    </row>
    <row r="711">
      <c r="A711" s="148"/>
      <c r="B711" s="139"/>
      <c r="C711" s="52"/>
      <c r="D711" s="147"/>
      <c r="E711" s="44"/>
    </row>
    <row r="712">
      <c r="A712" s="148"/>
      <c r="B712" s="139"/>
      <c r="C712" s="52"/>
      <c r="D712" s="147"/>
      <c r="E712" s="44"/>
    </row>
    <row r="713">
      <c r="A713" s="148"/>
      <c r="B713" s="139"/>
      <c r="C713" s="52"/>
      <c r="D713" s="147"/>
      <c r="E713" s="44"/>
    </row>
    <row r="714">
      <c r="A714" s="148"/>
      <c r="B714" s="139"/>
      <c r="C714" s="52"/>
      <c r="D714" s="147"/>
      <c r="E714" s="44"/>
    </row>
    <row r="715">
      <c r="A715" s="148"/>
      <c r="B715" s="139"/>
      <c r="C715" s="52"/>
      <c r="D715" s="147"/>
      <c r="E715" s="44"/>
    </row>
    <row r="716">
      <c r="A716" s="148"/>
      <c r="B716" s="139"/>
      <c r="C716" s="52"/>
      <c r="D716" s="147"/>
      <c r="E716" s="44"/>
    </row>
    <row r="717">
      <c r="A717" s="148"/>
      <c r="B717" s="139"/>
      <c r="C717" s="52"/>
      <c r="D717" s="147"/>
      <c r="E717" s="44"/>
    </row>
    <row r="718">
      <c r="A718" s="148"/>
      <c r="B718" s="139"/>
      <c r="C718" s="52"/>
      <c r="D718" s="147"/>
      <c r="E718" s="44"/>
    </row>
    <row r="719">
      <c r="A719" s="148"/>
      <c r="B719" s="139"/>
      <c r="C719" s="52"/>
      <c r="D719" s="147"/>
      <c r="E719" s="44"/>
    </row>
    <row r="720">
      <c r="A720" s="148"/>
      <c r="B720" s="139"/>
      <c r="C720" s="52"/>
      <c r="D720" s="147"/>
      <c r="E720" s="44"/>
    </row>
    <row r="721">
      <c r="A721" s="148"/>
      <c r="B721" s="139"/>
      <c r="C721" s="52"/>
      <c r="D721" s="147"/>
      <c r="E721" s="44"/>
    </row>
    <row r="722">
      <c r="A722" s="148"/>
      <c r="B722" s="139"/>
      <c r="C722" s="52"/>
      <c r="D722" s="147"/>
      <c r="E722" s="44"/>
    </row>
    <row r="723">
      <c r="A723" s="148"/>
      <c r="B723" s="139"/>
      <c r="C723" s="52"/>
      <c r="D723" s="147"/>
      <c r="E723" s="44"/>
    </row>
    <row r="724">
      <c r="A724" s="148"/>
      <c r="B724" s="139"/>
      <c r="C724" s="52"/>
      <c r="D724" s="147"/>
      <c r="E724" s="44"/>
    </row>
    <row r="725">
      <c r="A725" s="148"/>
      <c r="B725" s="139"/>
      <c r="C725" s="52"/>
      <c r="D725" s="147"/>
      <c r="E725" s="44"/>
    </row>
    <row r="726">
      <c r="A726" s="148"/>
      <c r="B726" s="139"/>
      <c r="C726" s="52"/>
      <c r="D726" s="147"/>
      <c r="E726" s="44"/>
    </row>
    <row r="727">
      <c r="A727" s="148"/>
      <c r="B727" s="139"/>
      <c r="C727" s="52"/>
      <c r="D727" s="147"/>
      <c r="E727" s="44"/>
    </row>
    <row r="728">
      <c r="A728" s="148"/>
      <c r="B728" s="139"/>
      <c r="C728" s="52"/>
      <c r="D728" s="147"/>
      <c r="E728" s="44"/>
    </row>
    <row r="729">
      <c r="A729" s="148"/>
      <c r="B729" s="139"/>
      <c r="C729" s="52"/>
      <c r="D729" s="147"/>
      <c r="E729" s="44"/>
    </row>
    <row r="730">
      <c r="A730" s="148"/>
      <c r="B730" s="139"/>
      <c r="C730" s="52"/>
      <c r="D730" s="147"/>
      <c r="E730" s="44"/>
    </row>
    <row r="731">
      <c r="A731" s="148"/>
      <c r="B731" s="139"/>
      <c r="C731" s="52"/>
      <c r="D731" s="147"/>
      <c r="E731" s="44"/>
    </row>
    <row r="732">
      <c r="A732" s="148"/>
      <c r="B732" s="139"/>
      <c r="C732" s="52"/>
      <c r="D732" s="147"/>
      <c r="E732" s="44"/>
    </row>
    <row r="733">
      <c r="A733" s="148"/>
      <c r="B733" s="139"/>
      <c r="C733" s="52"/>
      <c r="D733" s="147"/>
      <c r="E733" s="44"/>
    </row>
    <row r="734">
      <c r="A734" s="148"/>
      <c r="B734" s="139"/>
      <c r="C734" s="52"/>
      <c r="D734" s="147"/>
      <c r="E734" s="44"/>
    </row>
    <row r="735">
      <c r="A735" s="148"/>
      <c r="B735" s="139"/>
      <c r="C735" s="52"/>
      <c r="D735" s="147"/>
      <c r="E735" s="44"/>
    </row>
    <row r="736">
      <c r="A736" s="148"/>
      <c r="B736" s="139"/>
      <c r="C736" s="52"/>
      <c r="D736" s="147"/>
      <c r="E736" s="44"/>
    </row>
    <row r="737">
      <c r="A737" s="148"/>
      <c r="B737" s="139"/>
      <c r="C737" s="52"/>
      <c r="D737" s="147"/>
      <c r="E737" s="44"/>
    </row>
    <row r="738">
      <c r="A738" s="148"/>
      <c r="B738" s="139"/>
      <c r="C738" s="52"/>
      <c r="D738" s="147"/>
      <c r="E738" s="44"/>
    </row>
    <row r="739">
      <c r="A739" s="148"/>
      <c r="B739" s="139"/>
      <c r="C739" s="52"/>
      <c r="D739" s="147"/>
      <c r="E739" s="44"/>
    </row>
    <row r="740">
      <c r="A740" s="148"/>
      <c r="B740" s="139"/>
      <c r="C740" s="52"/>
      <c r="D740" s="147"/>
      <c r="E740" s="44"/>
    </row>
    <row r="741">
      <c r="A741" s="148"/>
      <c r="B741" s="139"/>
      <c r="C741" s="52"/>
      <c r="D741" s="147"/>
      <c r="E741" s="44"/>
    </row>
    <row r="742">
      <c r="A742" s="148"/>
      <c r="B742" s="139"/>
      <c r="C742" s="52"/>
      <c r="D742" s="147"/>
      <c r="E742" s="44"/>
    </row>
    <row r="743">
      <c r="A743" s="148"/>
      <c r="B743" s="139"/>
      <c r="C743" s="52"/>
      <c r="D743" s="147"/>
      <c r="E743" s="44"/>
    </row>
    <row r="744">
      <c r="A744" s="148"/>
      <c r="B744" s="139"/>
      <c r="C744" s="52"/>
      <c r="D744" s="147"/>
      <c r="E744" s="44"/>
    </row>
    <row r="745">
      <c r="A745" s="148"/>
      <c r="B745" s="139"/>
      <c r="C745" s="52"/>
      <c r="D745" s="147"/>
      <c r="E745" s="44"/>
    </row>
    <row r="746">
      <c r="A746" s="148"/>
      <c r="B746" s="139"/>
      <c r="C746" s="52"/>
      <c r="D746" s="147"/>
      <c r="E746" s="44"/>
    </row>
    <row r="747">
      <c r="A747" s="148"/>
      <c r="B747" s="139"/>
      <c r="C747" s="52"/>
      <c r="D747" s="147"/>
      <c r="E747" s="44"/>
    </row>
    <row r="748">
      <c r="A748" s="148"/>
      <c r="B748" s="139"/>
      <c r="C748" s="52"/>
      <c r="D748" s="147"/>
      <c r="E748" s="44"/>
    </row>
    <row r="749">
      <c r="A749" s="148"/>
      <c r="B749" s="139"/>
      <c r="C749" s="52"/>
      <c r="D749" s="147"/>
      <c r="E749" s="44"/>
    </row>
    <row r="750">
      <c r="A750" s="148"/>
      <c r="B750" s="139"/>
      <c r="C750" s="52"/>
      <c r="D750" s="147"/>
      <c r="E750" s="44"/>
    </row>
    <row r="751">
      <c r="A751" s="148"/>
      <c r="B751" s="139"/>
      <c r="C751" s="52"/>
      <c r="D751" s="147"/>
      <c r="E751" s="44"/>
    </row>
    <row r="752">
      <c r="A752" s="148"/>
      <c r="B752" s="139"/>
      <c r="C752" s="52"/>
      <c r="D752" s="147"/>
      <c r="E752" s="44"/>
    </row>
    <row r="753">
      <c r="A753" s="148"/>
      <c r="B753" s="139"/>
      <c r="C753" s="52"/>
      <c r="D753" s="147"/>
      <c r="E753" s="44"/>
    </row>
    <row r="754">
      <c r="A754" s="148"/>
      <c r="B754" s="139"/>
      <c r="C754" s="52"/>
      <c r="D754" s="147"/>
      <c r="E754" s="44"/>
    </row>
    <row r="755">
      <c r="A755" s="148"/>
      <c r="B755" s="139"/>
      <c r="C755" s="52"/>
      <c r="D755" s="147"/>
      <c r="E755" s="44"/>
    </row>
    <row r="756">
      <c r="A756" s="148"/>
      <c r="B756" s="139"/>
      <c r="C756" s="52"/>
      <c r="D756" s="147"/>
      <c r="E756" s="44"/>
    </row>
    <row r="757">
      <c r="A757" s="148"/>
      <c r="B757" s="139"/>
      <c r="C757" s="52"/>
      <c r="D757" s="147"/>
      <c r="E757" s="44"/>
    </row>
    <row r="758">
      <c r="A758" s="148"/>
      <c r="B758" s="139"/>
      <c r="C758" s="52"/>
      <c r="D758" s="147"/>
      <c r="E758" s="44"/>
    </row>
    <row r="759">
      <c r="A759" s="148"/>
      <c r="B759" s="139"/>
      <c r="C759" s="52"/>
      <c r="D759" s="147"/>
      <c r="E759" s="44"/>
    </row>
    <row r="760">
      <c r="A760" s="148"/>
      <c r="B760" s="139"/>
      <c r="C760" s="52"/>
      <c r="D760" s="147"/>
      <c r="E760" s="44"/>
    </row>
    <row r="761">
      <c r="A761" s="148"/>
      <c r="B761" s="139"/>
      <c r="C761" s="52"/>
      <c r="D761" s="147"/>
      <c r="E761" s="44"/>
    </row>
    <row r="762">
      <c r="A762" s="148"/>
      <c r="B762" s="139"/>
      <c r="C762" s="52"/>
      <c r="D762" s="147"/>
      <c r="E762" s="44"/>
    </row>
    <row r="763">
      <c r="A763" s="148"/>
      <c r="B763" s="139"/>
      <c r="C763" s="52"/>
      <c r="D763" s="147"/>
      <c r="E763" s="44"/>
    </row>
    <row r="764">
      <c r="A764" s="148"/>
      <c r="B764" s="139"/>
      <c r="C764" s="52"/>
      <c r="D764" s="147"/>
      <c r="E764" s="44"/>
    </row>
    <row r="765">
      <c r="A765" s="148"/>
      <c r="B765" s="139"/>
      <c r="C765" s="52"/>
      <c r="D765" s="147"/>
      <c r="E765" s="44"/>
    </row>
    <row r="766">
      <c r="A766" s="148"/>
      <c r="B766" s="139"/>
      <c r="C766" s="52"/>
      <c r="D766" s="147"/>
      <c r="E766" s="44"/>
    </row>
    <row r="767">
      <c r="A767" s="148"/>
      <c r="B767" s="139"/>
      <c r="C767" s="52"/>
      <c r="D767" s="147"/>
      <c r="E767" s="44"/>
    </row>
    <row r="768">
      <c r="A768" s="148"/>
      <c r="B768" s="139"/>
      <c r="C768" s="52"/>
      <c r="D768" s="147"/>
      <c r="E768" s="44"/>
    </row>
    <row r="769">
      <c r="A769" s="148"/>
      <c r="B769" s="139"/>
      <c r="C769" s="52"/>
      <c r="D769" s="147"/>
      <c r="E769" s="44"/>
    </row>
    <row r="770">
      <c r="A770" s="148"/>
      <c r="B770" s="139"/>
      <c r="C770" s="52"/>
      <c r="D770" s="147"/>
      <c r="E770" s="44"/>
    </row>
    <row r="771">
      <c r="A771" s="148"/>
      <c r="B771" s="139"/>
      <c r="C771" s="52"/>
      <c r="D771" s="147"/>
      <c r="E771" s="44"/>
    </row>
    <row r="772">
      <c r="A772" s="148"/>
      <c r="B772" s="139"/>
      <c r="C772" s="52"/>
      <c r="D772" s="147"/>
      <c r="E772" s="44"/>
    </row>
    <row r="773">
      <c r="A773" s="148"/>
      <c r="B773" s="139"/>
      <c r="C773" s="52"/>
      <c r="D773" s="147"/>
      <c r="E773" s="44"/>
    </row>
    <row r="774">
      <c r="A774" s="148"/>
      <c r="B774" s="139"/>
      <c r="C774" s="52"/>
      <c r="D774" s="147"/>
      <c r="E774" s="44"/>
    </row>
    <row r="775">
      <c r="A775" s="148"/>
      <c r="B775" s="139"/>
      <c r="C775" s="52"/>
      <c r="D775" s="147"/>
      <c r="E775" s="44"/>
    </row>
    <row r="776">
      <c r="A776" s="148"/>
      <c r="B776" s="139"/>
      <c r="C776" s="52"/>
      <c r="D776" s="147"/>
      <c r="E776" s="44"/>
    </row>
    <row r="777">
      <c r="A777" s="148"/>
      <c r="B777" s="139"/>
      <c r="C777" s="52"/>
      <c r="D777" s="147"/>
      <c r="E777" s="44"/>
    </row>
    <row r="778">
      <c r="A778" s="148"/>
      <c r="B778" s="139"/>
      <c r="C778" s="52"/>
      <c r="D778" s="147"/>
      <c r="E778" s="44"/>
    </row>
    <row r="779">
      <c r="A779" s="148"/>
      <c r="B779" s="139"/>
      <c r="C779" s="52"/>
      <c r="D779" s="147"/>
      <c r="E779" s="44"/>
    </row>
    <row r="780">
      <c r="A780" s="148"/>
      <c r="B780" s="139"/>
      <c r="C780" s="52"/>
      <c r="D780" s="147"/>
      <c r="E780" s="44"/>
    </row>
    <row r="781">
      <c r="A781" s="148"/>
      <c r="B781" s="139"/>
      <c r="C781" s="52"/>
      <c r="D781" s="147"/>
      <c r="E781" s="44"/>
    </row>
    <row r="782">
      <c r="A782" s="148"/>
      <c r="B782" s="139"/>
      <c r="C782" s="52"/>
      <c r="D782" s="147"/>
      <c r="E782" s="44"/>
    </row>
    <row r="783">
      <c r="A783" s="148"/>
      <c r="B783" s="139"/>
      <c r="C783" s="52"/>
      <c r="D783" s="147"/>
      <c r="E783" s="44"/>
    </row>
    <row r="784">
      <c r="A784" s="148"/>
      <c r="B784" s="139"/>
      <c r="C784" s="52"/>
      <c r="D784" s="147"/>
      <c r="E784" s="44"/>
    </row>
    <row r="785">
      <c r="A785" s="148"/>
      <c r="B785" s="139"/>
      <c r="C785" s="52"/>
      <c r="D785" s="147"/>
      <c r="E785" s="44"/>
    </row>
    <row r="786">
      <c r="A786" s="148"/>
      <c r="B786" s="139"/>
      <c r="C786" s="52"/>
      <c r="D786" s="147"/>
      <c r="E786" s="44"/>
    </row>
    <row r="787">
      <c r="A787" s="148"/>
      <c r="B787" s="139"/>
      <c r="C787" s="52"/>
      <c r="D787" s="147"/>
      <c r="E787" s="44"/>
    </row>
    <row r="788">
      <c r="A788" s="148"/>
      <c r="B788" s="139"/>
      <c r="C788" s="52"/>
      <c r="D788" s="147"/>
      <c r="E788" s="44"/>
    </row>
    <row r="789">
      <c r="A789" s="148"/>
      <c r="B789" s="139"/>
      <c r="C789" s="52"/>
      <c r="D789" s="147"/>
      <c r="E789" s="44"/>
    </row>
    <row r="790">
      <c r="A790" s="148"/>
      <c r="B790" s="139"/>
      <c r="C790" s="52"/>
      <c r="D790" s="147"/>
      <c r="E790" s="44"/>
    </row>
    <row r="791">
      <c r="A791" s="148"/>
      <c r="B791" s="139"/>
      <c r="C791" s="52"/>
      <c r="D791" s="147"/>
      <c r="E791" s="44"/>
    </row>
    <row r="792">
      <c r="A792" s="148"/>
      <c r="B792" s="139"/>
      <c r="C792" s="52"/>
      <c r="D792" s="147"/>
      <c r="E792" s="44"/>
    </row>
    <row r="793">
      <c r="A793" s="148"/>
      <c r="B793" s="139"/>
      <c r="C793" s="52"/>
      <c r="D793" s="147"/>
      <c r="E793" s="44"/>
    </row>
    <row r="794">
      <c r="A794" s="148"/>
      <c r="B794" s="139"/>
      <c r="C794" s="52"/>
      <c r="D794" s="147"/>
      <c r="E794" s="44"/>
    </row>
    <row r="795">
      <c r="A795" s="148"/>
      <c r="B795" s="139"/>
      <c r="C795" s="52"/>
      <c r="D795" s="147"/>
      <c r="E795" s="44"/>
    </row>
    <row r="796">
      <c r="A796" s="148"/>
      <c r="B796" s="139"/>
      <c r="C796" s="52"/>
      <c r="D796" s="147"/>
      <c r="E796" s="44"/>
    </row>
    <row r="797">
      <c r="A797" s="148"/>
      <c r="B797" s="139"/>
      <c r="C797" s="52"/>
      <c r="D797" s="147"/>
      <c r="E797" s="44"/>
    </row>
    <row r="798">
      <c r="A798" s="148"/>
      <c r="B798" s="139"/>
      <c r="C798" s="52"/>
      <c r="D798" s="147"/>
      <c r="E798" s="44"/>
    </row>
    <row r="799">
      <c r="A799" s="148"/>
      <c r="B799" s="139"/>
      <c r="C799" s="52"/>
      <c r="D799" s="147"/>
      <c r="E799" s="44"/>
    </row>
    <row r="800">
      <c r="A800" s="148"/>
      <c r="B800" s="139"/>
      <c r="C800" s="52"/>
      <c r="D800" s="147"/>
      <c r="E800" s="44"/>
    </row>
    <row r="801">
      <c r="A801" s="148"/>
      <c r="B801" s="139"/>
      <c r="C801" s="52"/>
      <c r="D801" s="147"/>
      <c r="E801" s="44"/>
    </row>
    <row r="802">
      <c r="A802" s="148"/>
      <c r="B802" s="139"/>
      <c r="C802" s="52"/>
      <c r="D802" s="147"/>
      <c r="E802" s="44"/>
    </row>
    <row r="803">
      <c r="A803" s="148"/>
      <c r="B803" s="139"/>
      <c r="C803" s="52"/>
      <c r="D803" s="147"/>
      <c r="E803" s="44"/>
    </row>
    <row r="804">
      <c r="A804" s="148"/>
      <c r="B804" s="139"/>
      <c r="C804" s="52"/>
      <c r="D804" s="147"/>
      <c r="E804" s="44"/>
    </row>
    <row r="805">
      <c r="A805" s="148"/>
      <c r="B805" s="139"/>
      <c r="C805" s="52"/>
      <c r="D805" s="147"/>
      <c r="E805" s="44"/>
    </row>
    <row r="806">
      <c r="A806" s="148"/>
      <c r="B806" s="139"/>
      <c r="C806" s="52"/>
      <c r="D806" s="147"/>
      <c r="E806" s="44"/>
    </row>
    <row r="807">
      <c r="A807" s="148"/>
      <c r="B807" s="139"/>
      <c r="C807" s="52"/>
      <c r="D807" s="147"/>
      <c r="E807" s="44"/>
    </row>
    <row r="808">
      <c r="A808" s="148"/>
      <c r="B808" s="139"/>
      <c r="C808" s="52"/>
      <c r="D808" s="147"/>
      <c r="E808" s="44"/>
    </row>
    <row r="809">
      <c r="A809" s="148"/>
      <c r="B809" s="139"/>
      <c r="C809" s="52"/>
      <c r="D809" s="147"/>
      <c r="E809" s="44"/>
    </row>
    <row r="810">
      <c r="A810" s="148"/>
      <c r="B810" s="139"/>
      <c r="C810" s="52"/>
      <c r="D810" s="147"/>
      <c r="E810" s="44"/>
    </row>
    <row r="811">
      <c r="A811" s="148"/>
      <c r="B811" s="139"/>
      <c r="C811" s="52"/>
      <c r="D811" s="147"/>
      <c r="E811" s="44"/>
    </row>
    <row r="812">
      <c r="A812" s="148"/>
      <c r="B812" s="139"/>
      <c r="C812" s="52"/>
      <c r="D812" s="147"/>
      <c r="E812" s="44"/>
    </row>
    <row r="813">
      <c r="A813" s="148"/>
      <c r="B813" s="139"/>
      <c r="C813" s="52"/>
      <c r="D813" s="147"/>
      <c r="E813" s="44"/>
    </row>
    <row r="814">
      <c r="A814" s="148"/>
      <c r="B814" s="139"/>
      <c r="C814" s="52"/>
      <c r="D814" s="147"/>
      <c r="E814" s="44"/>
    </row>
    <row r="815">
      <c r="A815" s="148"/>
      <c r="B815" s="139"/>
      <c r="C815" s="52"/>
      <c r="D815" s="147"/>
      <c r="E815" s="44"/>
    </row>
    <row r="816">
      <c r="A816" s="148"/>
      <c r="B816" s="139"/>
      <c r="C816" s="52"/>
      <c r="D816" s="147"/>
      <c r="E816" s="44"/>
    </row>
    <row r="817">
      <c r="A817" s="148"/>
      <c r="B817" s="139"/>
      <c r="C817" s="52"/>
      <c r="D817" s="147"/>
      <c r="E817" s="44"/>
    </row>
    <row r="818">
      <c r="A818" s="148"/>
      <c r="B818" s="139"/>
      <c r="C818" s="52"/>
      <c r="D818" s="147"/>
      <c r="E818" s="44"/>
    </row>
    <row r="819">
      <c r="A819" s="148"/>
      <c r="B819" s="139"/>
      <c r="C819" s="52"/>
      <c r="D819" s="147"/>
      <c r="E819" s="44"/>
    </row>
    <row r="820">
      <c r="A820" s="148"/>
      <c r="B820" s="139"/>
      <c r="C820" s="52"/>
      <c r="D820" s="147"/>
      <c r="E820" s="44"/>
    </row>
    <row r="821">
      <c r="A821" s="148"/>
      <c r="B821" s="139"/>
      <c r="C821" s="52"/>
      <c r="D821" s="147"/>
      <c r="E821" s="44"/>
    </row>
    <row r="822">
      <c r="A822" s="148"/>
      <c r="B822" s="139"/>
      <c r="C822" s="52"/>
      <c r="D822" s="147"/>
      <c r="E822" s="44"/>
    </row>
    <row r="823">
      <c r="A823" s="148"/>
      <c r="B823" s="139"/>
      <c r="C823" s="52"/>
      <c r="D823" s="147"/>
      <c r="E823" s="44"/>
    </row>
    <row r="824">
      <c r="A824" s="148"/>
      <c r="B824" s="139"/>
      <c r="C824" s="52"/>
      <c r="D824" s="147"/>
      <c r="E824" s="44"/>
    </row>
    <row r="825">
      <c r="A825" s="148"/>
      <c r="B825" s="139"/>
      <c r="C825" s="52"/>
      <c r="D825" s="147"/>
      <c r="E825" s="44"/>
    </row>
    <row r="826">
      <c r="A826" s="148"/>
      <c r="B826" s="139"/>
      <c r="C826" s="52"/>
      <c r="D826" s="147"/>
      <c r="E826" s="44"/>
    </row>
    <row r="827">
      <c r="A827" s="148"/>
      <c r="B827" s="139"/>
      <c r="C827" s="52"/>
      <c r="D827" s="147"/>
      <c r="E827" s="44"/>
    </row>
    <row r="828">
      <c r="A828" s="148"/>
      <c r="B828" s="139"/>
      <c r="C828" s="52"/>
      <c r="D828" s="147"/>
      <c r="E828" s="44"/>
    </row>
    <row r="829">
      <c r="A829" s="148"/>
      <c r="B829" s="139"/>
      <c r="C829" s="52"/>
      <c r="D829" s="147"/>
      <c r="E829" s="44"/>
    </row>
    <row r="830">
      <c r="A830" s="148"/>
      <c r="B830" s="139"/>
      <c r="C830" s="52"/>
      <c r="D830" s="147"/>
      <c r="E830" s="44"/>
    </row>
    <row r="831">
      <c r="A831" s="148"/>
      <c r="B831" s="139"/>
      <c r="C831" s="52"/>
      <c r="D831" s="147"/>
      <c r="E831" s="44"/>
    </row>
    <row r="832">
      <c r="A832" s="148"/>
      <c r="B832" s="139"/>
      <c r="C832" s="52"/>
      <c r="D832" s="147"/>
      <c r="E832" s="44"/>
    </row>
    <row r="833">
      <c r="A833" s="148"/>
      <c r="B833" s="139"/>
      <c r="C833" s="52"/>
      <c r="D833" s="147"/>
      <c r="E833" s="44"/>
    </row>
    <row r="834">
      <c r="A834" s="148"/>
      <c r="B834" s="139"/>
      <c r="C834" s="52"/>
      <c r="D834" s="147"/>
      <c r="E834" s="44"/>
    </row>
    <row r="835">
      <c r="A835" s="148"/>
      <c r="B835" s="139"/>
      <c r="C835" s="52"/>
      <c r="D835" s="147"/>
      <c r="E835" s="44"/>
    </row>
    <row r="836">
      <c r="A836" s="148"/>
      <c r="B836" s="139"/>
      <c r="C836" s="52"/>
      <c r="D836" s="147"/>
      <c r="E836" s="44"/>
    </row>
    <row r="837">
      <c r="A837" s="148"/>
      <c r="B837" s="139"/>
      <c r="C837" s="52"/>
      <c r="D837" s="147"/>
      <c r="E837" s="44"/>
    </row>
    <row r="838">
      <c r="A838" s="148"/>
      <c r="B838" s="139"/>
      <c r="C838" s="52"/>
      <c r="D838" s="147"/>
      <c r="E838" s="44"/>
    </row>
    <row r="839">
      <c r="A839" s="148"/>
      <c r="B839" s="139"/>
      <c r="C839" s="52"/>
      <c r="D839" s="147"/>
      <c r="E839" s="44"/>
    </row>
    <row r="840">
      <c r="A840" s="148"/>
      <c r="B840" s="139"/>
      <c r="C840" s="52"/>
      <c r="D840" s="147"/>
      <c r="E840" s="44"/>
    </row>
    <row r="841">
      <c r="A841" s="148"/>
      <c r="B841" s="139"/>
      <c r="C841" s="52"/>
      <c r="D841" s="147"/>
      <c r="E841" s="44"/>
    </row>
    <row r="842">
      <c r="A842" s="148"/>
      <c r="B842" s="139"/>
      <c r="C842" s="52"/>
      <c r="D842" s="147"/>
      <c r="E842" s="44"/>
    </row>
    <row r="843">
      <c r="A843" s="148"/>
      <c r="B843" s="139"/>
      <c r="C843" s="52"/>
      <c r="D843" s="147"/>
      <c r="E843" s="44"/>
    </row>
    <row r="844">
      <c r="A844" s="148"/>
      <c r="B844" s="139"/>
      <c r="C844" s="52"/>
      <c r="D844" s="147"/>
      <c r="E844" s="44"/>
    </row>
    <row r="845">
      <c r="A845" s="148"/>
      <c r="B845" s="139"/>
      <c r="C845" s="52"/>
      <c r="D845" s="147"/>
      <c r="E845" s="44"/>
    </row>
    <row r="846">
      <c r="A846" s="148"/>
      <c r="B846" s="139"/>
      <c r="C846" s="52"/>
      <c r="D846" s="147"/>
      <c r="E846" s="44"/>
    </row>
    <row r="847">
      <c r="A847" s="148"/>
      <c r="B847" s="139"/>
      <c r="C847" s="52"/>
      <c r="D847" s="147"/>
      <c r="E847" s="44"/>
    </row>
    <row r="848">
      <c r="A848" s="148"/>
      <c r="B848" s="139"/>
      <c r="C848" s="52"/>
      <c r="D848" s="147"/>
      <c r="E848" s="44"/>
    </row>
    <row r="849">
      <c r="A849" s="148"/>
      <c r="B849" s="139"/>
      <c r="C849" s="52"/>
      <c r="D849" s="147"/>
      <c r="E849" s="44"/>
    </row>
    <row r="850">
      <c r="A850" s="148"/>
      <c r="B850" s="139"/>
      <c r="C850" s="52"/>
      <c r="D850" s="147"/>
      <c r="E850" s="44"/>
    </row>
    <row r="851">
      <c r="A851" s="148"/>
      <c r="B851" s="139"/>
      <c r="C851" s="52"/>
      <c r="D851" s="147"/>
      <c r="E851" s="44"/>
    </row>
    <row r="852">
      <c r="A852" s="148"/>
      <c r="B852" s="139"/>
      <c r="C852" s="52"/>
      <c r="D852" s="147"/>
      <c r="E852" s="44"/>
    </row>
    <row r="853">
      <c r="A853" s="148"/>
      <c r="B853" s="139"/>
      <c r="C853" s="52"/>
      <c r="D853" s="147"/>
      <c r="E853" s="44"/>
    </row>
    <row r="854">
      <c r="A854" s="148"/>
      <c r="B854" s="139"/>
      <c r="C854" s="52"/>
      <c r="D854" s="147"/>
      <c r="E854" s="44"/>
    </row>
    <row r="855">
      <c r="A855" s="148"/>
      <c r="B855" s="139"/>
      <c r="C855" s="52"/>
      <c r="D855" s="147"/>
      <c r="E855" s="44"/>
    </row>
    <row r="856">
      <c r="A856" s="148"/>
      <c r="B856" s="139"/>
      <c r="C856" s="52"/>
      <c r="D856" s="147"/>
      <c r="E856" s="44"/>
    </row>
    <row r="857">
      <c r="A857" s="148"/>
      <c r="B857" s="139"/>
      <c r="C857" s="52"/>
      <c r="D857" s="147"/>
      <c r="E857" s="44"/>
    </row>
    <row r="858">
      <c r="A858" s="148"/>
      <c r="B858" s="139"/>
      <c r="C858" s="52"/>
      <c r="D858" s="147"/>
      <c r="E858" s="44"/>
    </row>
    <row r="859">
      <c r="A859" s="148"/>
      <c r="B859" s="139"/>
      <c r="C859" s="52"/>
      <c r="D859" s="147"/>
      <c r="E859" s="44"/>
    </row>
    <row r="860">
      <c r="A860" s="148"/>
      <c r="B860" s="139"/>
      <c r="C860" s="52"/>
      <c r="D860" s="147"/>
      <c r="E860" s="44"/>
    </row>
    <row r="861">
      <c r="A861" s="148"/>
      <c r="B861" s="139"/>
      <c r="C861" s="52"/>
      <c r="D861" s="147"/>
      <c r="E861" s="44"/>
    </row>
    <row r="862">
      <c r="A862" s="148"/>
      <c r="B862" s="139"/>
      <c r="C862" s="52"/>
      <c r="D862" s="147"/>
      <c r="E862" s="44"/>
    </row>
    <row r="863">
      <c r="A863" s="148"/>
      <c r="B863" s="139"/>
      <c r="C863" s="52"/>
      <c r="D863" s="147"/>
      <c r="E863" s="44"/>
    </row>
    <row r="864">
      <c r="A864" s="148"/>
      <c r="B864" s="139"/>
      <c r="C864" s="52"/>
      <c r="D864" s="147"/>
      <c r="E864" s="44"/>
    </row>
    <row r="865">
      <c r="A865" s="148"/>
      <c r="B865" s="139"/>
      <c r="C865" s="52"/>
      <c r="D865" s="147"/>
      <c r="E865" s="44"/>
    </row>
    <row r="866">
      <c r="A866" s="148"/>
      <c r="B866" s="139"/>
      <c r="C866" s="52"/>
      <c r="D866" s="147"/>
      <c r="E866" s="44"/>
    </row>
    <row r="867">
      <c r="A867" s="148"/>
      <c r="B867" s="139"/>
      <c r="C867" s="52"/>
      <c r="D867" s="147"/>
      <c r="E867" s="44"/>
    </row>
    <row r="868">
      <c r="A868" s="148"/>
      <c r="B868" s="139"/>
      <c r="C868" s="52"/>
      <c r="D868" s="147"/>
      <c r="E868" s="44"/>
    </row>
    <row r="869">
      <c r="A869" s="148"/>
      <c r="B869" s="139"/>
      <c r="C869" s="52"/>
      <c r="D869" s="147"/>
      <c r="E869" s="44"/>
    </row>
    <row r="870">
      <c r="A870" s="148"/>
      <c r="B870" s="139"/>
      <c r="C870" s="52"/>
      <c r="D870" s="147"/>
      <c r="E870" s="44"/>
    </row>
    <row r="871">
      <c r="A871" s="148"/>
      <c r="B871" s="139"/>
      <c r="C871" s="52"/>
      <c r="D871" s="147"/>
      <c r="E871" s="44"/>
    </row>
    <row r="872">
      <c r="A872" s="148"/>
      <c r="B872" s="139"/>
      <c r="C872" s="52"/>
      <c r="D872" s="147"/>
      <c r="E872" s="44"/>
    </row>
    <row r="873">
      <c r="A873" s="148"/>
      <c r="B873" s="139"/>
      <c r="C873" s="52"/>
      <c r="D873" s="147"/>
      <c r="E873" s="44"/>
    </row>
    <row r="874">
      <c r="A874" s="148"/>
      <c r="B874" s="139"/>
      <c r="C874" s="52"/>
      <c r="D874" s="147"/>
      <c r="E874" s="44"/>
    </row>
    <row r="875">
      <c r="A875" s="148"/>
      <c r="B875" s="139"/>
      <c r="C875" s="52"/>
      <c r="D875" s="147"/>
      <c r="E875" s="44"/>
    </row>
    <row r="876">
      <c r="A876" s="148"/>
      <c r="B876" s="139"/>
      <c r="C876" s="52"/>
      <c r="D876" s="147"/>
      <c r="E876" s="44"/>
    </row>
    <row r="877">
      <c r="A877" s="148"/>
      <c r="B877" s="139"/>
      <c r="C877" s="52"/>
      <c r="D877" s="147"/>
      <c r="E877" s="44"/>
    </row>
    <row r="878">
      <c r="A878" s="148"/>
      <c r="B878" s="139"/>
      <c r="C878" s="52"/>
      <c r="D878" s="147"/>
      <c r="E878" s="44"/>
    </row>
    <row r="879">
      <c r="A879" s="148"/>
      <c r="B879" s="139"/>
      <c r="C879" s="52"/>
      <c r="D879" s="147"/>
      <c r="E879" s="44"/>
    </row>
    <row r="880">
      <c r="A880" s="148"/>
      <c r="B880" s="139"/>
      <c r="C880" s="52"/>
      <c r="D880" s="147"/>
      <c r="E880" s="44"/>
    </row>
    <row r="881">
      <c r="A881" s="148"/>
      <c r="B881" s="139"/>
      <c r="C881" s="52"/>
      <c r="D881" s="147"/>
      <c r="E881" s="44"/>
    </row>
    <row r="882">
      <c r="A882" s="148"/>
      <c r="B882" s="139"/>
      <c r="C882" s="52"/>
      <c r="D882" s="147"/>
      <c r="E882" s="44"/>
    </row>
    <row r="883">
      <c r="A883" s="148"/>
      <c r="B883" s="139"/>
      <c r="C883" s="52"/>
      <c r="D883" s="147"/>
      <c r="E883" s="44"/>
    </row>
    <row r="884">
      <c r="A884" s="148"/>
      <c r="B884" s="139"/>
      <c r="C884" s="52"/>
      <c r="D884" s="147"/>
      <c r="E884" s="44"/>
    </row>
    <row r="885">
      <c r="A885" s="148"/>
      <c r="B885" s="139"/>
      <c r="C885" s="52"/>
      <c r="D885" s="147"/>
      <c r="E885" s="44"/>
    </row>
    <row r="886">
      <c r="A886" s="148"/>
      <c r="B886" s="139"/>
      <c r="C886" s="52"/>
      <c r="D886" s="147"/>
      <c r="E886" s="44"/>
    </row>
    <row r="887">
      <c r="A887" s="148"/>
      <c r="B887" s="139"/>
      <c r="C887" s="52"/>
      <c r="D887" s="147"/>
      <c r="E887" s="44"/>
    </row>
    <row r="888">
      <c r="A888" s="148"/>
      <c r="B888" s="139"/>
      <c r="C888" s="52"/>
      <c r="D888" s="147"/>
      <c r="E888" s="44"/>
    </row>
    <row r="889">
      <c r="A889" s="148"/>
      <c r="B889" s="139"/>
      <c r="C889" s="52"/>
      <c r="D889" s="147"/>
      <c r="E889" s="44"/>
    </row>
    <row r="890">
      <c r="A890" s="148"/>
      <c r="B890" s="139"/>
      <c r="C890" s="52"/>
      <c r="D890" s="147"/>
      <c r="E890" s="44"/>
    </row>
    <row r="891">
      <c r="A891" s="148"/>
      <c r="B891" s="139"/>
      <c r="C891" s="52"/>
      <c r="D891" s="147"/>
      <c r="E891" s="44"/>
    </row>
    <row r="892">
      <c r="A892" s="148"/>
      <c r="B892" s="139"/>
      <c r="C892" s="52"/>
      <c r="D892" s="147"/>
      <c r="E892" s="44"/>
    </row>
    <row r="893">
      <c r="A893" s="148"/>
      <c r="B893" s="139"/>
      <c r="C893" s="52"/>
      <c r="D893" s="147"/>
      <c r="E893" s="44"/>
    </row>
    <row r="894">
      <c r="A894" s="148"/>
      <c r="B894" s="139"/>
      <c r="C894" s="52"/>
      <c r="D894" s="147"/>
      <c r="E894" s="44"/>
    </row>
    <row r="895">
      <c r="A895" s="148"/>
      <c r="B895" s="139"/>
      <c r="C895" s="52"/>
      <c r="D895" s="147"/>
      <c r="E895" s="44"/>
    </row>
    <row r="896">
      <c r="A896" s="148"/>
      <c r="B896" s="139"/>
      <c r="C896" s="52"/>
      <c r="D896" s="147"/>
      <c r="E896" s="44"/>
    </row>
    <row r="897">
      <c r="A897" s="148"/>
      <c r="B897" s="139"/>
      <c r="C897" s="52"/>
      <c r="D897" s="147"/>
      <c r="E897" s="44"/>
    </row>
    <row r="898">
      <c r="A898" s="148"/>
      <c r="B898" s="139"/>
      <c r="C898" s="52"/>
      <c r="D898" s="147"/>
      <c r="E898" s="44"/>
    </row>
    <row r="899">
      <c r="A899" s="148"/>
      <c r="B899" s="139"/>
      <c r="C899" s="52"/>
      <c r="D899" s="147"/>
      <c r="E899" s="44"/>
    </row>
    <row r="900">
      <c r="A900" s="148"/>
      <c r="B900" s="139"/>
      <c r="C900" s="52"/>
      <c r="D900" s="147"/>
      <c r="E900" s="44"/>
    </row>
    <row r="901">
      <c r="A901" s="148"/>
      <c r="B901" s="139"/>
      <c r="C901" s="52"/>
      <c r="D901" s="147"/>
      <c r="E901" s="44"/>
    </row>
    <row r="902">
      <c r="A902" s="148"/>
      <c r="B902" s="139"/>
      <c r="C902" s="52"/>
      <c r="D902" s="147"/>
      <c r="E902" s="44"/>
    </row>
    <row r="903">
      <c r="A903" s="148"/>
      <c r="B903" s="139"/>
      <c r="C903" s="52"/>
      <c r="D903" s="147"/>
      <c r="E903" s="44"/>
    </row>
    <row r="904">
      <c r="A904" s="148"/>
      <c r="B904" s="139"/>
      <c r="C904" s="52"/>
      <c r="D904" s="147"/>
      <c r="E904" s="44"/>
    </row>
    <row r="905">
      <c r="A905" s="148"/>
      <c r="B905" s="139"/>
      <c r="C905" s="52"/>
      <c r="D905" s="147"/>
      <c r="E905" s="44"/>
    </row>
    <row r="906">
      <c r="A906" s="148"/>
      <c r="B906" s="139"/>
      <c r="C906" s="52"/>
      <c r="D906" s="147"/>
      <c r="E906" s="44"/>
    </row>
    <row r="907">
      <c r="A907" s="148"/>
      <c r="B907" s="139"/>
      <c r="C907" s="52"/>
      <c r="D907" s="147"/>
      <c r="E907" s="44"/>
    </row>
    <row r="908">
      <c r="A908" s="148"/>
      <c r="B908" s="139"/>
      <c r="C908" s="52"/>
      <c r="D908" s="147"/>
      <c r="E908" s="44"/>
    </row>
    <row r="909">
      <c r="A909" s="148"/>
      <c r="B909" s="139"/>
      <c r="C909" s="52"/>
      <c r="D909" s="147"/>
      <c r="E909" s="44"/>
    </row>
    <row r="910">
      <c r="A910" s="148"/>
      <c r="B910" s="139"/>
      <c r="C910" s="52"/>
      <c r="D910" s="147"/>
      <c r="E910" s="44"/>
    </row>
    <row r="911">
      <c r="A911" s="148"/>
      <c r="B911" s="139"/>
      <c r="C911" s="52"/>
      <c r="D911" s="147"/>
      <c r="E911" s="44"/>
    </row>
    <row r="912">
      <c r="A912" s="148"/>
      <c r="B912" s="139"/>
      <c r="C912" s="52"/>
      <c r="D912" s="147"/>
      <c r="E912" s="44"/>
    </row>
    <row r="913">
      <c r="A913" s="148"/>
      <c r="B913" s="139"/>
      <c r="C913" s="52"/>
      <c r="D913" s="147"/>
      <c r="E913" s="44"/>
    </row>
    <row r="914">
      <c r="A914" s="148"/>
      <c r="B914" s="139"/>
      <c r="C914" s="52"/>
      <c r="D914" s="147"/>
      <c r="E914" s="44"/>
    </row>
    <row r="915">
      <c r="A915" s="148"/>
      <c r="B915" s="139"/>
      <c r="C915" s="52"/>
      <c r="D915" s="147"/>
      <c r="E915" s="44"/>
    </row>
    <row r="916">
      <c r="A916" s="148"/>
      <c r="B916" s="139"/>
      <c r="C916" s="52"/>
      <c r="D916" s="147"/>
      <c r="E916" s="44"/>
    </row>
    <row r="917">
      <c r="A917" s="148"/>
      <c r="B917" s="139"/>
      <c r="C917" s="52"/>
      <c r="D917" s="147"/>
      <c r="E917" s="44"/>
    </row>
    <row r="918">
      <c r="A918" s="148"/>
      <c r="B918" s="139"/>
      <c r="C918" s="52"/>
      <c r="D918" s="147"/>
      <c r="E918" s="44"/>
    </row>
    <row r="919">
      <c r="A919" s="148"/>
      <c r="B919" s="139"/>
      <c r="C919" s="52"/>
      <c r="D919" s="147"/>
      <c r="E919" s="44"/>
    </row>
    <row r="920">
      <c r="A920" s="148"/>
      <c r="B920" s="139"/>
      <c r="C920" s="52"/>
      <c r="D920" s="147"/>
      <c r="E920" s="44"/>
    </row>
    <row r="921">
      <c r="A921" s="148"/>
      <c r="B921" s="139"/>
      <c r="C921" s="52"/>
      <c r="D921" s="147"/>
      <c r="E921" s="44"/>
    </row>
    <row r="922">
      <c r="A922" s="148"/>
      <c r="B922" s="139"/>
      <c r="C922" s="52"/>
      <c r="D922" s="147"/>
      <c r="E922" s="44"/>
    </row>
    <row r="923">
      <c r="A923" s="148"/>
      <c r="B923" s="139"/>
      <c r="C923" s="52"/>
      <c r="D923" s="147"/>
      <c r="E923" s="44"/>
    </row>
    <row r="924">
      <c r="A924" s="148"/>
      <c r="B924" s="139"/>
      <c r="C924" s="52"/>
      <c r="D924" s="147"/>
      <c r="E924" s="44"/>
    </row>
    <row r="925">
      <c r="A925" s="148"/>
      <c r="B925" s="139"/>
      <c r="C925" s="52"/>
      <c r="D925" s="147"/>
      <c r="E925" s="44"/>
    </row>
    <row r="926">
      <c r="A926" s="148"/>
      <c r="B926" s="139"/>
      <c r="C926" s="52"/>
      <c r="D926" s="147"/>
      <c r="E926" s="44"/>
    </row>
    <row r="927">
      <c r="A927" s="148"/>
      <c r="B927" s="139"/>
      <c r="C927" s="52"/>
      <c r="D927" s="147"/>
      <c r="E927" s="44"/>
    </row>
    <row r="928">
      <c r="A928" s="148"/>
      <c r="B928" s="139"/>
      <c r="C928" s="52"/>
      <c r="D928" s="147"/>
      <c r="E928" s="44"/>
    </row>
    <row r="929">
      <c r="A929" s="148"/>
      <c r="B929" s="139"/>
      <c r="C929" s="52"/>
      <c r="D929" s="147"/>
      <c r="E929" s="44"/>
    </row>
    <row r="930">
      <c r="A930" s="148"/>
      <c r="B930" s="139"/>
      <c r="C930" s="52"/>
      <c r="D930" s="147"/>
      <c r="E930" s="44"/>
    </row>
    <row r="931">
      <c r="A931" s="148"/>
      <c r="B931" s="139"/>
      <c r="C931" s="52"/>
      <c r="D931" s="147"/>
      <c r="E931" s="44"/>
    </row>
    <row r="932">
      <c r="A932" s="148"/>
      <c r="B932" s="139"/>
      <c r="C932" s="52"/>
      <c r="D932" s="147"/>
      <c r="E932" s="44"/>
    </row>
    <row r="933">
      <c r="A933" s="148"/>
      <c r="B933" s="139"/>
      <c r="C933" s="52"/>
      <c r="D933" s="147"/>
      <c r="E933" s="44"/>
    </row>
    <row r="934">
      <c r="A934" s="148"/>
      <c r="B934" s="139"/>
      <c r="C934" s="52"/>
      <c r="D934" s="147"/>
      <c r="E934" s="44"/>
    </row>
    <row r="935">
      <c r="A935" s="148"/>
      <c r="B935" s="139"/>
      <c r="C935" s="52"/>
      <c r="D935" s="147"/>
      <c r="E935" s="44"/>
    </row>
    <row r="936">
      <c r="A936" s="148"/>
      <c r="B936" s="139"/>
      <c r="C936" s="52"/>
      <c r="D936" s="147"/>
      <c r="E936" s="44"/>
    </row>
    <row r="937">
      <c r="A937" s="148"/>
      <c r="B937" s="139"/>
      <c r="C937" s="52"/>
      <c r="D937" s="147"/>
      <c r="E937" s="44"/>
    </row>
    <row r="938">
      <c r="A938" s="148"/>
      <c r="B938" s="139"/>
      <c r="C938" s="52"/>
      <c r="D938" s="147"/>
      <c r="E938" s="44"/>
    </row>
    <row r="939">
      <c r="A939" s="148"/>
      <c r="B939" s="139"/>
      <c r="C939" s="52"/>
      <c r="D939" s="147"/>
      <c r="E939" s="44"/>
    </row>
    <row r="940">
      <c r="A940" s="148"/>
      <c r="B940" s="139"/>
      <c r="C940" s="52"/>
      <c r="D940" s="147"/>
      <c r="E940" s="44"/>
    </row>
    <row r="941">
      <c r="A941" s="148"/>
      <c r="B941" s="139"/>
      <c r="C941" s="52"/>
      <c r="D941" s="147"/>
      <c r="E941" s="44"/>
    </row>
    <row r="942">
      <c r="A942" s="148"/>
      <c r="B942" s="139"/>
      <c r="C942" s="52"/>
      <c r="D942" s="147"/>
      <c r="E942" s="44"/>
    </row>
    <row r="943">
      <c r="A943" s="148"/>
      <c r="B943" s="139"/>
      <c r="C943" s="52"/>
      <c r="D943" s="147"/>
      <c r="E943" s="44"/>
    </row>
    <row r="944">
      <c r="A944" s="148"/>
      <c r="B944" s="139"/>
      <c r="C944" s="52"/>
      <c r="D944" s="147"/>
      <c r="E944" s="44"/>
    </row>
    <row r="945">
      <c r="A945" s="148"/>
      <c r="B945" s="139"/>
      <c r="C945" s="52"/>
      <c r="D945" s="147"/>
      <c r="E945" s="44"/>
    </row>
    <row r="946">
      <c r="A946" s="148"/>
      <c r="B946" s="139"/>
      <c r="C946" s="52"/>
      <c r="D946" s="147"/>
      <c r="E946" s="44"/>
    </row>
    <row r="947">
      <c r="A947" s="148"/>
      <c r="B947" s="139"/>
      <c r="C947" s="52"/>
      <c r="D947" s="147"/>
      <c r="E947" s="44"/>
    </row>
    <row r="948">
      <c r="A948" s="148"/>
      <c r="B948" s="139"/>
      <c r="C948" s="52"/>
      <c r="D948" s="147"/>
      <c r="E948" s="44"/>
    </row>
    <row r="949">
      <c r="A949" s="148"/>
      <c r="B949" s="139"/>
      <c r="C949" s="52"/>
      <c r="D949" s="147"/>
      <c r="E949" s="44"/>
    </row>
    <row r="950">
      <c r="A950" s="148"/>
      <c r="B950" s="139"/>
      <c r="C950" s="52"/>
      <c r="D950" s="147"/>
      <c r="E950" s="44"/>
    </row>
    <row r="951">
      <c r="A951" s="148"/>
      <c r="B951" s="139"/>
      <c r="C951" s="52"/>
      <c r="D951" s="147"/>
      <c r="E951" s="44"/>
    </row>
    <row r="952">
      <c r="A952" s="148"/>
      <c r="B952" s="139"/>
      <c r="C952" s="52"/>
      <c r="D952" s="147"/>
      <c r="E952" s="44"/>
    </row>
    <row r="953">
      <c r="A953" s="148"/>
      <c r="B953" s="139"/>
      <c r="C953" s="52"/>
      <c r="D953" s="147"/>
      <c r="E953" s="44"/>
    </row>
    <row r="954">
      <c r="A954" s="148"/>
      <c r="B954" s="139"/>
      <c r="C954" s="52"/>
      <c r="D954" s="147"/>
      <c r="E954" s="44"/>
    </row>
    <row r="955">
      <c r="A955" s="148"/>
      <c r="B955" s="139"/>
      <c r="C955" s="52"/>
      <c r="D955" s="147"/>
      <c r="E955" s="44"/>
    </row>
    <row r="956">
      <c r="A956" s="148"/>
      <c r="B956" s="139"/>
      <c r="C956" s="52"/>
      <c r="D956" s="147"/>
      <c r="E956" s="44"/>
    </row>
    <row r="957">
      <c r="A957" s="148"/>
      <c r="B957" s="139"/>
      <c r="C957" s="52"/>
      <c r="D957" s="147"/>
      <c r="E957" s="44"/>
    </row>
    <row r="958">
      <c r="A958" s="148"/>
      <c r="B958" s="139"/>
      <c r="C958" s="52"/>
      <c r="D958" s="147"/>
      <c r="E958" s="44"/>
    </row>
    <row r="959">
      <c r="A959" s="148"/>
      <c r="B959" s="139"/>
      <c r="C959" s="52"/>
      <c r="D959" s="147"/>
      <c r="E959" s="44"/>
    </row>
    <row r="960">
      <c r="A960" s="148"/>
      <c r="B960" s="139"/>
      <c r="C960" s="52"/>
      <c r="D960" s="147"/>
      <c r="E960" s="44"/>
    </row>
    <row r="961">
      <c r="A961" s="148"/>
      <c r="B961" s="139"/>
      <c r="C961" s="52"/>
      <c r="D961" s="147"/>
      <c r="E961" s="44"/>
    </row>
    <row r="962">
      <c r="A962" s="148"/>
      <c r="B962" s="139"/>
      <c r="C962" s="52"/>
      <c r="D962" s="147"/>
      <c r="E962" s="44"/>
    </row>
    <row r="963">
      <c r="A963" s="148"/>
      <c r="B963" s="139"/>
      <c r="C963" s="52"/>
      <c r="D963" s="147"/>
      <c r="E963" s="44"/>
    </row>
    <row r="964">
      <c r="A964" s="148"/>
      <c r="B964" s="139"/>
      <c r="C964" s="52"/>
      <c r="D964" s="147"/>
      <c r="E964" s="44"/>
    </row>
    <row r="965">
      <c r="A965" s="148"/>
      <c r="B965" s="139"/>
      <c r="C965" s="52"/>
      <c r="D965" s="147"/>
      <c r="E965" s="44"/>
    </row>
    <row r="966">
      <c r="A966" s="148"/>
      <c r="B966" s="139"/>
      <c r="C966" s="52"/>
      <c r="D966" s="147"/>
      <c r="E966" s="44"/>
    </row>
    <row r="967">
      <c r="A967" s="148"/>
      <c r="B967" s="139"/>
      <c r="C967" s="52"/>
      <c r="D967" s="147"/>
      <c r="E967" s="44"/>
    </row>
    <row r="968">
      <c r="A968" s="148"/>
      <c r="B968" s="139"/>
      <c r="C968" s="52"/>
      <c r="D968" s="147"/>
      <c r="E968" s="44"/>
    </row>
    <row r="969">
      <c r="A969" s="148"/>
      <c r="B969" s="139"/>
      <c r="C969" s="52"/>
      <c r="D969" s="147"/>
      <c r="E969" s="44"/>
    </row>
    <row r="970">
      <c r="A970" s="148"/>
      <c r="B970" s="139"/>
      <c r="C970" s="52"/>
      <c r="D970" s="147"/>
      <c r="E970" s="44"/>
    </row>
    <row r="971">
      <c r="A971" s="148"/>
      <c r="B971" s="139"/>
      <c r="C971" s="52"/>
      <c r="D971" s="147"/>
      <c r="E971" s="44"/>
    </row>
    <row r="972">
      <c r="A972" s="148"/>
      <c r="B972" s="139"/>
      <c r="C972" s="52"/>
      <c r="D972" s="147"/>
      <c r="E972" s="44"/>
    </row>
    <row r="973">
      <c r="A973" s="148"/>
      <c r="B973" s="139"/>
      <c r="C973" s="52"/>
      <c r="D973" s="147"/>
      <c r="E973" s="44"/>
    </row>
    <row r="974">
      <c r="A974" s="148"/>
      <c r="B974" s="139"/>
      <c r="C974" s="52"/>
      <c r="D974" s="147"/>
      <c r="E974" s="44"/>
    </row>
    <row r="975">
      <c r="A975" s="148"/>
      <c r="B975" s="139"/>
      <c r="C975" s="52"/>
      <c r="D975" s="147"/>
      <c r="E975" s="44"/>
    </row>
    <row r="976">
      <c r="A976" s="148"/>
      <c r="B976" s="139"/>
      <c r="C976" s="52"/>
      <c r="D976" s="147"/>
      <c r="E976" s="44"/>
    </row>
    <row r="977">
      <c r="A977" s="148"/>
      <c r="B977" s="139"/>
      <c r="C977" s="52"/>
      <c r="D977" s="147"/>
      <c r="E977" s="44"/>
    </row>
    <row r="978">
      <c r="A978" s="148"/>
      <c r="B978" s="139"/>
      <c r="C978" s="52"/>
      <c r="D978" s="147"/>
      <c r="E978" s="44"/>
    </row>
    <row r="979">
      <c r="A979" s="148"/>
      <c r="B979" s="139"/>
      <c r="C979" s="52"/>
      <c r="D979" s="147"/>
      <c r="E979" s="44"/>
    </row>
    <row r="980">
      <c r="A980" s="148"/>
      <c r="B980" s="139"/>
      <c r="C980" s="52"/>
      <c r="D980" s="147"/>
      <c r="E980" s="44"/>
    </row>
    <row r="981">
      <c r="A981" s="148"/>
      <c r="B981" s="139"/>
      <c r="C981" s="52"/>
      <c r="D981" s="147"/>
      <c r="E981" s="44"/>
    </row>
    <row r="982">
      <c r="A982" s="148"/>
      <c r="B982" s="139"/>
      <c r="C982" s="52"/>
      <c r="D982" s="147"/>
      <c r="E982" s="44"/>
    </row>
    <row r="983">
      <c r="A983" s="148"/>
      <c r="B983" s="139"/>
      <c r="C983" s="52"/>
      <c r="D983" s="147"/>
      <c r="E983" s="44"/>
    </row>
    <row r="984">
      <c r="A984" s="148"/>
      <c r="B984" s="139"/>
      <c r="C984" s="52"/>
      <c r="D984" s="147"/>
      <c r="E984" s="44"/>
    </row>
    <row r="985">
      <c r="A985" s="148"/>
      <c r="B985" s="139"/>
      <c r="C985" s="52"/>
      <c r="D985" s="147"/>
      <c r="E985" s="44"/>
    </row>
    <row r="986">
      <c r="A986" s="148"/>
      <c r="B986" s="139"/>
      <c r="C986" s="52"/>
      <c r="D986" s="147"/>
      <c r="E986" s="44"/>
    </row>
    <row r="987">
      <c r="A987" s="148"/>
      <c r="B987" s="139"/>
      <c r="C987" s="52"/>
      <c r="D987" s="147"/>
      <c r="E987" s="44"/>
    </row>
    <row r="988">
      <c r="A988" s="148"/>
      <c r="B988" s="139"/>
      <c r="C988" s="52"/>
      <c r="D988" s="147"/>
      <c r="E988" s="44"/>
    </row>
    <row r="989">
      <c r="A989" s="148"/>
      <c r="B989" s="139"/>
      <c r="C989" s="52"/>
      <c r="D989" s="147"/>
      <c r="E989" s="44"/>
    </row>
    <row r="990">
      <c r="A990" s="148"/>
      <c r="B990" s="139"/>
      <c r="C990" s="52"/>
      <c r="D990" s="147"/>
      <c r="E990" s="44"/>
    </row>
    <row r="991">
      <c r="A991" s="148"/>
      <c r="B991" s="139"/>
      <c r="C991" s="52"/>
      <c r="D991" s="147"/>
      <c r="E991" s="44"/>
    </row>
    <row r="992">
      <c r="A992" s="148"/>
      <c r="B992" s="139"/>
      <c r="C992" s="52"/>
      <c r="D992" s="147"/>
      <c r="E992" s="44"/>
    </row>
    <row r="993">
      <c r="A993" s="148"/>
      <c r="B993" s="139"/>
      <c r="C993" s="52"/>
      <c r="D993" s="147"/>
      <c r="E993" s="44"/>
    </row>
    <row r="994">
      <c r="A994" s="148"/>
      <c r="B994" s="139"/>
      <c r="C994" s="52"/>
      <c r="D994" s="147"/>
      <c r="E994" s="44"/>
    </row>
    <row r="995">
      <c r="A995" s="148"/>
      <c r="B995" s="139"/>
      <c r="C995" s="52"/>
      <c r="D995" s="147"/>
      <c r="E995" s="44"/>
    </row>
    <row r="996">
      <c r="A996" s="148"/>
      <c r="B996" s="139"/>
      <c r="C996" s="52"/>
      <c r="D996" s="147"/>
      <c r="E996" s="44"/>
    </row>
    <row r="997">
      <c r="A997" s="148"/>
      <c r="B997" s="139"/>
      <c r="C997" s="52"/>
      <c r="D997" s="147"/>
      <c r="E997" s="44"/>
    </row>
    <row r="998">
      <c r="A998" s="148"/>
      <c r="B998" s="139"/>
      <c r="C998" s="52"/>
      <c r="D998" s="147"/>
      <c r="E998" s="44"/>
    </row>
    <row r="999">
      <c r="A999" s="148"/>
      <c r="B999" s="139"/>
      <c r="C999" s="52"/>
      <c r="D999" s="147"/>
      <c r="E999" s="44"/>
    </row>
    <row r="1000">
      <c r="A1000" s="148"/>
      <c r="B1000" s="139"/>
      <c r="C1000" s="52"/>
      <c r="D1000" s="147"/>
      <c r="E1000" s="44"/>
    </row>
    <row r="1001">
      <c r="A1001" s="148"/>
      <c r="B1001" s="139"/>
      <c r="C1001" s="52"/>
      <c r="D1001" s="147"/>
      <c r="E1001" s="4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5"/>
    <col customWidth="1" min="2" max="2" width="61.88"/>
    <col customWidth="1" min="3" max="3" width="39.0"/>
    <col customWidth="1" min="4" max="4" width="35.88"/>
  </cols>
  <sheetData>
    <row r="1" ht="22.5" customHeight="1">
      <c r="A1" s="13" t="s">
        <v>2</v>
      </c>
      <c r="B1" s="13" t="s">
        <v>3</v>
      </c>
      <c r="C1" s="13" t="s">
        <v>202</v>
      </c>
      <c r="D1" s="13" t="s">
        <v>203</v>
      </c>
    </row>
    <row r="2" ht="22.5" customHeight="1">
      <c r="A2" s="149" t="s">
        <v>132</v>
      </c>
      <c r="B2" s="25" t="s">
        <v>204</v>
      </c>
      <c r="C2" s="150" t="s">
        <v>205</v>
      </c>
      <c r="D2" s="150" t="s">
        <v>206</v>
      </c>
    </row>
    <row r="3" ht="22.5" customHeight="1">
      <c r="A3" s="151" t="s">
        <v>72</v>
      </c>
      <c r="B3" s="25" t="s">
        <v>8</v>
      </c>
      <c r="C3" s="150" t="s">
        <v>207</v>
      </c>
      <c r="D3" s="150" t="s">
        <v>208</v>
      </c>
    </row>
    <row r="4" ht="22.5" customHeight="1">
      <c r="A4" s="149" t="s">
        <v>164</v>
      </c>
      <c r="B4" s="25" t="s">
        <v>209</v>
      </c>
      <c r="C4" s="150" t="s">
        <v>210</v>
      </c>
      <c r="D4" s="150" t="s">
        <v>211</v>
      </c>
    </row>
    <row r="5" ht="22.5" customHeight="1">
      <c r="A5" s="152" t="s">
        <v>64</v>
      </c>
      <c r="B5" s="25" t="s">
        <v>23</v>
      </c>
      <c r="C5" s="150" t="s">
        <v>212</v>
      </c>
      <c r="D5" s="150" t="s">
        <v>213</v>
      </c>
    </row>
    <row r="6" ht="22.5" customHeight="1">
      <c r="A6" s="57" t="s">
        <v>53</v>
      </c>
      <c r="B6" s="25" t="s">
        <v>214</v>
      </c>
      <c r="C6" s="150" t="s">
        <v>215</v>
      </c>
      <c r="D6" s="150" t="s">
        <v>216</v>
      </c>
    </row>
    <row r="7" ht="22.5" customHeight="1">
      <c r="A7" s="23" t="s">
        <v>118</v>
      </c>
      <c r="B7" s="25" t="s">
        <v>18</v>
      </c>
      <c r="C7" s="150" t="s">
        <v>217</v>
      </c>
      <c r="D7" s="150" t="s">
        <v>218</v>
      </c>
    </row>
    <row r="8" ht="22.5" customHeight="1">
      <c r="A8" s="149" t="s">
        <v>144</v>
      </c>
      <c r="B8" s="25" t="s">
        <v>219</v>
      </c>
      <c r="C8" s="150" t="s">
        <v>220</v>
      </c>
      <c r="D8" s="150" t="s">
        <v>221</v>
      </c>
    </row>
    <row r="9" ht="22.5" customHeight="1">
      <c r="A9" s="23" t="s">
        <v>60</v>
      </c>
      <c r="B9" s="25" t="s">
        <v>178</v>
      </c>
      <c r="C9" s="150" t="s">
        <v>222</v>
      </c>
      <c r="D9" s="150" t="s">
        <v>223</v>
      </c>
    </row>
    <row r="10" ht="22.5" customHeight="1">
      <c r="A10" s="23" t="s">
        <v>179</v>
      </c>
      <c r="B10" s="43" t="s">
        <v>26</v>
      </c>
      <c r="C10" s="150" t="s">
        <v>224</v>
      </c>
      <c r="D10" s="150" t="s">
        <v>225</v>
      </c>
    </row>
    <row r="11" ht="22.5" customHeight="1">
      <c r="A11" s="23" t="s">
        <v>180</v>
      </c>
      <c r="B11" s="43" t="s">
        <v>11</v>
      </c>
      <c r="C11" s="150" t="s">
        <v>226</v>
      </c>
      <c r="D11" s="150" t="s">
        <v>227</v>
      </c>
    </row>
    <row r="12" ht="22.5" customHeight="1">
      <c r="A12" s="28" t="s">
        <v>105</v>
      </c>
      <c r="B12" s="25" t="s">
        <v>11</v>
      </c>
      <c r="C12" s="150" t="s">
        <v>228</v>
      </c>
      <c r="D12" s="150" t="s">
        <v>229</v>
      </c>
    </row>
    <row r="13" ht="22.5" customHeight="1">
      <c r="A13" s="151" t="s">
        <v>74</v>
      </c>
      <c r="B13" s="25" t="s">
        <v>11</v>
      </c>
      <c r="C13" s="150" t="s">
        <v>230</v>
      </c>
      <c r="D13" s="150" t="s">
        <v>231</v>
      </c>
    </row>
    <row r="14" ht="22.5" customHeight="1">
      <c r="A14" s="151" t="s">
        <v>71</v>
      </c>
      <c r="B14" s="25" t="s">
        <v>27</v>
      </c>
      <c r="C14" s="150" t="s">
        <v>232</v>
      </c>
      <c r="D14" s="150" t="s">
        <v>233</v>
      </c>
    </row>
    <row r="15" ht="22.5" customHeight="1">
      <c r="A15" s="149" t="s">
        <v>168</v>
      </c>
      <c r="B15" s="25" t="s">
        <v>7</v>
      </c>
      <c r="C15" s="150" t="s">
        <v>234</v>
      </c>
      <c r="D15" s="150" t="s">
        <v>235</v>
      </c>
    </row>
    <row r="16" ht="22.5" customHeight="1">
      <c r="A16" s="149" t="s">
        <v>152</v>
      </c>
      <c r="B16" s="25" t="s">
        <v>236</v>
      </c>
      <c r="C16" s="150" t="s">
        <v>237</v>
      </c>
      <c r="D16" s="150" t="s">
        <v>238</v>
      </c>
    </row>
    <row r="17" ht="22.5" customHeight="1">
      <c r="A17" s="149" t="s">
        <v>130</v>
      </c>
      <c r="B17" s="25" t="s">
        <v>239</v>
      </c>
      <c r="C17" s="150" t="s">
        <v>240</v>
      </c>
      <c r="D17" s="150" t="s">
        <v>242</v>
      </c>
    </row>
    <row r="18" ht="22.5" customHeight="1">
      <c r="A18" s="149" t="s">
        <v>162</v>
      </c>
      <c r="B18" s="25" t="s">
        <v>18</v>
      </c>
      <c r="C18" s="150" t="s">
        <v>244</v>
      </c>
      <c r="D18" s="150" t="s">
        <v>245</v>
      </c>
    </row>
    <row r="19" ht="22.5" customHeight="1">
      <c r="A19" s="149" t="s">
        <v>137</v>
      </c>
      <c r="B19" s="25" t="s">
        <v>209</v>
      </c>
      <c r="C19" s="150" t="s">
        <v>246</v>
      </c>
      <c r="D19" s="150" t="s">
        <v>247</v>
      </c>
    </row>
    <row r="20" ht="22.5" customHeight="1">
      <c r="A20" s="151" t="s">
        <v>69</v>
      </c>
      <c r="B20" s="25" t="s">
        <v>11</v>
      </c>
      <c r="C20" s="150" t="s">
        <v>248</v>
      </c>
      <c r="D20" s="150" t="s">
        <v>249</v>
      </c>
    </row>
    <row r="21" ht="22.5" customHeight="1">
      <c r="A21" s="149" t="s">
        <v>166</v>
      </c>
      <c r="B21" s="25" t="s">
        <v>250</v>
      </c>
      <c r="C21" s="150" t="s">
        <v>251</v>
      </c>
      <c r="D21" s="155" t="s">
        <v>252</v>
      </c>
    </row>
    <row r="22" ht="22.5" customHeight="1">
      <c r="A22" s="149" t="s">
        <v>138</v>
      </c>
      <c r="B22" s="25" t="s">
        <v>6</v>
      </c>
      <c r="C22" s="150" t="s">
        <v>253</v>
      </c>
      <c r="D22" s="150" t="s">
        <v>254</v>
      </c>
    </row>
    <row r="23" ht="22.5" customHeight="1">
      <c r="A23" s="149" t="s">
        <v>172</v>
      </c>
      <c r="B23" s="25" t="s">
        <v>6</v>
      </c>
      <c r="C23" s="150" t="s">
        <v>255</v>
      </c>
      <c r="D23" s="155" t="s">
        <v>256</v>
      </c>
    </row>
    <row r="24" ht="22.5" customHeight="1">
      <c r="A24" s="156" t="s">
        <v>32</v>
      </c>
      <c r="B24" s="43" t="s">
        <v>7</v>
      </c>
      <c r="C24" s="150" t="s">
        <v>257</v>
      </c>
      <c r="D24" s="155" t="s">
        <v>258</v>
      </c>
    </row>
    <row r="25" ht="22.5" customHeight="1">
      <c r="A25" s="57" t="s">
        <v>91</v>
      </c>
      <c r="B25" s="25" t="s">
        <v>16</v>
      </c>
      <c r="C25" s="150" t="s">
        <v>259</v>
      </c>
      <c r="D25" s="150" t="s">
        <v>260</v>
      </c>
    </row>
    <row r="26" ht="22.5" customHeight="1">
      <c r="A26" s="149" t="s">
        <v>161</v>
      </c>
      <c r="B26" s="25" t="s">
        <v>6</v>
      </c>
      <c r="C26" s="150" t="s">
        <v>261</v>
      </c>
      <c r="D26" s="150" t="s">
        <v>262</v>
      </c>
    </row>
    <row r="27" ht="22.5" customHeight="1">
      <c r="A27" s="149" t="s">
        <v>171</v>
      </c>
      <c r="B27" s="25" t="s">
        <v>263</v>
      </c>
      <c r="C27" s="150" t="s">
        <v>264</v>
      </c>
      <c r="D27" s="150" t="s">
        <v>265</v>
      </c>
    </row>
    <row r="28" ht="22.5" customHeight="1">
      <c r="A28" s="149" t="s">
        <v>151</v>
      </c>
      <c r="B28" s="25" t="s">
        <v>20</v>
      </c>
      <c r="C28" s="150" t="s">
        <v>266</v>
      </c>
      <c r="D28" s="150" t="s">
        <v>267</v>
      </c>
    </row>
    <row r="29" ht="22.5" customHeight="1">
      <c r="A29" s="151" t="s">
        <v>57</v>
      </c>
      <c r="B29" s="25" t="s">
        <v>268</v>
      </c>
      <c r="C29" s="150" t="s">
        <v>269</v>
      </c>
      <c r="D29" s="150" t="s">
        <v>270</v>
      </c>
    </row>
    <row r="30" ht="22.5" customHeight="1">
      <c r="A30" s="149" t="s">
        <v>126</v>
      </c>
      <c r="B30" s="25" t="s">
        <v>11</v>
      </c>
      <c r="C30" s="150" t="s">
        <v>271</v>
      </c>
      <c r="D30" s="150" t="s">
        <v>272</v>
      </c>
    </row>
    <row r="31" ht="22.5" customHeight="1">
      <c r="A31" s="23" t="s">
        <v>7</v>
      </c>
      <c r="B31" s="25" t="s">
        <v>7</v>
      </c>
      <c r="C31" s="157" t="s">
        <v>273</v>
      </c>
      <c r="D31" s="150" t="s">
        <v>274</v>
      </c>
    </row>
    <row r="32" ht="22.5" customHeight="1">
      <c r="A32" s="158" t="s">
        <v>54</v>
      </c>
      <c r="B32" s="25" t="s">
        <v>23</v>
      </c>
      <c r="C32" s="150" t="s">
        <v>275</v>
      </c>
      <c r="D32" s="150" t="s">
        <v>276</v>
      </c>
    </row>
    <row r="33" ht="22.5" customHeight="1">
      <c r="A33" s="149" t="s">
        <v>169</v>
      </c>
      <c r="B33" s="25" t="s">
        <v>11</v>
      </c>
      <c r="C33" s="150" t="s">
        <v>277</v>
      </c>
      <c r="D33" s="150" t="s">
        <v>278</v>
      </c>
    </row>
    <row r="34" ht="22.5" customHeight="1">
      <c r="A34" s="149" t="s">
        <v>155</v>
      </c>
      <c r="B34" s="25" t="s">
        <v>279</v>
      </c>
      <c r="C34" s="150" t="s">
        <v>280</v>
      </c>
      <c r="D34" s="150" t="s">
        <v>281</v>
      </c>
    </row>
    <row r="35" ht="22.5" customHeight="1">
      <c r="A35" s="23" t="s">
        <v>115</v>
      </c>
      <c r="B35" s="25" t="s">
        <v>6</v>
      </c>
      <c r="C35" s="150" t="s">
        <v>282</v>
      </c>
      <c r="D35" s="150" t="s">
        <v>283</v>
      </c>
    </row>
    <row r="36" ht="22.5" customHeight="1">
      <c r="A36" s="23" t="s">
        <v>67</v>
      </c>
      <c r="B36" s="25" t="s">
        <v>181</v>
      </c>
      <c r="C36" s="150" t="s">
        <v>284</v>
      </c>
      <c r="D36" s="150" t="s">
        <v>285</v>
      </c>
    </row>
    <row r="37" ht="22.5" customHeight="1">
      <c r="A37" s="23" t="s">
        <v>116</v>
      </c>
      <c r="B37" s="25" t="s">
        <v>20</v>
      </c>
      <c r="C37" s="150" t="s">
        <v>286</v>
      </c>
      <c r="D37" s="150" t="s">
        <v>287</v>
      </c>
    </row>
    <row r="38" ht="22.5" customHeight="1">
      <c r="A38" s="23" t="s">
        <v>45</v>
      </c>
      <c r="B38" s="25" t="s">
        <v>26</v>
      </c>
      <c r="C38" s="150" t="s">
        <v>288</v>
      </c>
      <c r="D38" s="150" t="s">
        <v>289</v>
      </c>
    </row>
    <row r="39" ht="22.5" customHeight="1">
      <c r="A39" s="23" t="s">
        <v>59</v>
      </c>
      <c r="B39" s="25" t="s">
        <v>8</v>
      </c>
      <c r="C39" s="150" t="s">
        <v>290</v>
      </c>
      <c r="D39" s="150" t="s">
        <v>291</v>
      </c>
    </row>
    <row r="40" ht="22.5" customHeight="1">
      <c r="A40" s="23" t="s">
        <v>41</v>
      </c>
      <c r="B40" s="25" t="s">
        <v>182</v>
      </c>
      <c r="C40" s="150" t="s">
        <v>292</v>
      </c>
      <c r="D40" s="150" t="s">
        <v>293</v>
      </c>
    </row>
    <row r="41" ht="22.5" customHeight="1">
      <c r="A41" s="23" t="s">
        <v>183</v>
      </c>
      <c r="B41" s="25" t="s">
        <v>18</v>
      </c>
      <c r="C41" s="150" t="s">
        <v>294</v>
      </c>
      <c r="D41" s="150" t="s">
        <v>295</v>
      </c>
    </row>
    <row r="42" ht="22.5" customHeight="1">
      <c r="A42" s="57" t="s">
        <v>109</v>
      </c>
      <c r="B42" s="25" t="s">
        <v>18</v>
      </c>
      <c r="C42" s="150" t="s">
        <v>296</v>
      </c>
      <c r="D42" s="150" t="s">
        <v>297</v>
      </c>
    </row>
    <row r="43" ht="22.5" customHeight="1">
      <c r="A43" s="151" t="s">
        <v>37</v>
      </c>
      <c r="B43" s="25" t="s">
        <v>184</v>
      </c>
      <c r="C43" s="150" t="s">
        <v>298</v>
      </c>
      <c r="D43" s="150" t="s">
        <v>299</v>
      </c>
    </row>
    <row r="44" ht="22.5" customHeight="1">
      <c r="A44" s="57" t="s">
        <v>89</v>
      </c>
      <c r="B44" s="25" t="s">
        <v>6</v>
      </c>
      <c r="C44" s="150" t="s">
        <v>300</v>
      </c>
      <c r="D44" s="150" t="s">
        <v>301</v>
      </c>
    </row>
    <row r="45" ht="22.5" customHeight="1">
      <c r="A45" s="149" t="s">
        <v>173</v>
      </c>
      <c r="B45" s="25" t="s">
        <v>11</v>
      </c>
      <c r="C45" s="150" t="s">
        <v>302</v>
      </c>
      <c r="D45" s="150" t="s">
        <v>303</v>
      </c>
    </row>
    <row r="46" ht="22.5" customHeight="1">
      <c r="A46" s="151" t="s">
        <v>44</v>
      </c>
      <c r="B46" s="25" t="s">
        <v>185</v>
      </c>
      <c r="C46" s="150" t="s">
        <v>304</v>
      </c>
      <c r="D46" s="150" t="s">
        <v>305</v>
      </c>
    </row>
    <row r="47" ht="22.5" customHeight="1">
      <c r="A47" s="149" t="s">
        <v>122</v>
      </c>
      <c r="B47" s="25" t="s">
        <v>6</v>
      </c>
      <c r="C47" s="150" t="s">
        <v>306</v>
      </c>
      <c r="D47" s="150" t="s">
        <v>307</v>
      </c>
    </row>
    <row r="48" ht="22.5" customHeight="1">
      <c r="A48" s="156" t="s">
        <v>47</v>
      </c>
      <c r="B48" s="43" t="s">
        <v>6</v>
      </c>
      <c r="C48" s="150" t="s">
        <v>308</v>
      </c>
      <c r="D48" s="150" t="s">
        <v>309</v>
      </c>
    </row>
    <row r="49" ht="22.5" customHeight="1">
      <c r="A49" s="149" t="s">
        <v>146</v>
      </c>
      <c r="B49" s="25" t="s">
        <v>6</v>
      </c>
      <c r="C49" s="150" t="s">
        <v>310</v>
      </c>
      <c r="D49" s="150" t="s">
        <v>311</v>
      </c>
    </row>
    <row r="50" ht="22.5" customHeight="1">
      <c r="A50" s="151" t="s">
        <v>46</v>
      </c>
      <c r="B50" s="25" t="s">
        <v>29</v>
      </c>
      <c r="C50" s="150" t="s">
        <v>312</v>
      </c>
      <c r="D50" s="150" t="s">
        <v>313</v>
      </c>
    </row>
    <row r="51" ht="22.5" customHeight="1">
      <c r="A51" s="23" t="s">
        <v>62</v>
      </c>
      <c r="B51" s="25" t="s">
        <v>16</v>
      </c>
      <c r="C51" s="150" t="s">
        <v>314</v>
      </c>
      <c r="D51" s="150" t="s">
        <v>315</v>
      </c>
    </row>
    <row r="52" ht="22.5" customHeight="1">
      <c r="A52" s="23" t="s">
        <v>50</v>
      </c>
      <c r="B52" s="25" t="s">
        <v>16</v>
      </c>
      <c r="C52" s="150" t="s">
        <v>316</v>
      </c>
      <c r="D52" s="150" t="s">
        <v>317</v>
      </c>
    </row>
    <row r="53" ht="22.5" customHeight="1">
      <c r="A53" s="159" t="s">
        <v>75</v>
      </c>
      <c r="B53" s="25" t="s">
        <v>20</v>
      </c>
      <c r="C53" s="150" t="s">
        <v>318</v>
      </c>
      <c r="D53" s="150" t="s">
        <v>319</v>
      </c>
    </row>
    <row r="54" ht="22.5" customHeight="1">
      <c r="A54" s="149" t="s">
        <v>143</v>
      </c>
      <c r="B54" s="25" t="s">
        <v>20</v>
      </c>
      <c r="C54" s="150" t="s">
        <v>320</v>
      </c>
      <c r="D54" s="150" t="s">
        <v>321</v>
      </c>
    </row>
    <row r="55" ht="22.5" customHeight="1">
      <c r="A55" s="152" t="s">
        <v>70</v>
      </c>
      <c r="B55" s="25" t="s">
        <v>23</v>
      </c>
      <c r="C55" s="150" t="s">
        <v>322</v>
      </c>
      <c r="D55" s="150" t="s">
        <v>323</v>
      </c>
    </row>
    <row r="56" ht="22.5" customHeight="1">
      <c r="A56" s="156" t="s">
        <v>31</v>
      </c>
      <c r="B56" s="43" t="s">
        <v>6</v>
      </c>
      <c r="C56" s="150" t="s">
        <v>324</v>
      </c>
      <c r="D56" s="150" t="s">
        <v>325</v>
      </c>
    </row>
    <row r="57" ht="22.5" customHeight="1">
      <c r="A57" s="151" t="s">
        <v>81</v>
      </c>
      <c r="B57" s="25" t="s">
        <v>20</v>
      </c>
      <c r="C57" s="150" t="s">
        <v>326</v>
      </c>
      <c r="D57" s="150" t="s">
        <v>327</v>
      </c>
    </row>
    <row r="58" ht="22.5" customHeight="1">
      <c r="A58" s="23" t="s">
        <v>85</v>
      </c>
      <c r="B58" s="25" t="s">
        <v>18</v>
      </c>
      <c r="C58" s="150" t="s">
        <v>328</v>
      </c>
      <c r="D58" s="150" t="s">
        <v>329</v>
      </c>
    </row>
    <row r="59" ht="22.5" customHeight="1">
      <c r="A59" s="23" t="s">
        <v>66</v>
      </c>
      <c r="B59" s="25" t="s">
        <v>7</v>
      </c>
      <c r="C59" s="150" t="s">
        <v>330</v>
      </c>
      <c r="D59" s="150" t="s">
        <v>331</v>
      </c>
    </row>
    <row r="60" ht="22.5" customHeight="1">
      <c r="A60" s="151" t="s">
        <v>80</v>
      </c>
      <c r="B60" s="25" t="s">
        <v>20</v>
      </c>
      <c r="C60" s="150" t="s">
        <v>332</v>
      </c>
      <c r="D60" s="150" t="s">
        <v>333</v>
      </c>
    </row>
    <row r="61" ht="22.5" customHeight="1">
      <c r="A61" s="149" t="s">
        <v>136</v>
      </c>
      <c r="B61" s="25" t="s">
        <v>27</v>
      </c>
      <c r="C61" s="150" t="s">
        <v>334</v>
      </c>
      <c r="D61" s="150" t="s">
        <v>335</v>
      </c>
    </row>
    <row r="62" ht="22.5" customHeight="1">
      <c r="A62" s="23" t="s">
        <v>114</v>
      </c>
      <c r="B62" s="25" t="s">
        <v>18</v>
      </c>
      <c r="C62" s="150" t="s">
        <v>336</v>
      </c>
      <c r="D62" s="150" t="s">
        <v>337</v>
      </c>
    </row>
    <row r="63" ht="22.5" customHeight="1">
      <c r="A63" s="151" t="s">
        <v>52</v>
      </c>
      <c r="B63" s="25" t="s">
        <v>20</v>
      </c>
      <c r="C63" s="150" t="s">
        <v>338</v>
      </c>
      <c r="D63" s="150" t="s">
        <v>339</v>
      </c>
    </row>
    <row r="64" ht="22.5" customHeight="1">
      <c r="A64" s="156" t="s">
        <v>48</v>
      </c>
      <c r="B64" s="43" t="s">
        <v>7</v>
      </c>
      <c r="C64" s="150" t="s">
        <v>340</v>
      </c>
      <c r="D64" s="150" t="s">
        <v>341</v>
      </c>
    </row>
    <row r="65" ht="22.5" customHeight="1">
      <c r="A65" s="28" t="s">
        <v>25</v>
      </c>
      <c r="B65" s="25" t="s">
        <v>6</v>
      </c>
      <c r="C65" s="150" t="s">
        <v>342</v>
      </c>
      <c r="D65" s="150" t="s">
        <v>343</v>
      </c>
    </row>
    <row r="66" ht="22.5" customHeight="1">
      <c r="A66" s="23" t="s">
        <v>98</v>
      </c>
      <c r="B66" s="43" t="s">
        <v>20</v>
      </c>
      <c r="C66" s="150" t="s">
        <v>342</v>
      </c>
      <c r="D66" s="150" t="s">
        <v>343</v>
      </c>
    </row>
    <row r="67" ht="22.5" customHeight="1">
      <c r="A67" s="23" t="s">
        <v>76</v>
      </c>
      <c r="B67" s="25" t="s">
        <v>7</v>
      </c>
      <c r="C67" s="150" t="s">
        <v>344</v>
      </c>
      <c r="D67" s="150" t="s">
        <v>345</v>
      </c>
    </row>
    <row r="68" ht="22.5" customHeight="1">
      <c r="A68" s="23" t="s">
        <v>58</v>
      </c>
      <c r="B68" s="25" t="s">
        <v>7</v>
      </c>
      <c r="C68" s="150" t="s">
        <v>346</v>
      </c>
      <c r="D68" s="150" t="s">
        <v>347</v>
      </c>
    </row>
    <row r="69" ht="22.5" customHeight="1">
      <c r="A69" s="149" t="s">
        <v>153</v>
      </c>
      <c r="B69" s="25" t="s">
        <v>6</v>
      </c>
      <c r="C69" s="150" t="s">
        <v>348</v>
      </c>
      <c r="D69" s="150" t="s">
        <v>349</v>
      </c>
    </row>
    <row r="70" ht="22.5" customHeight="1">
      <c r="A70" s="149" t="s">
        <v>147</v>
      </c>
      <c r="B70" s="25" t="s">
        <v>6</v>
      </c>
      <c r="C70" s="150" t="s">
        <v>350</v>
      </c>
      <c r="D70" s="150" t="s">
        <v>351</v>
      </c>
    </row>
    <row r="71" ht="22.5" customHeight="1">
      <c r="A71" s="149" t="s">
        <v>177</v>
      </c>
      <c r="B71" s="25" t="s">
        <v>10</v>
      </c>
      <c r="C71" s="150" t="s">
        <v>352</v>
      </c>
      <c r="D71" s="150" t="s">
        <v>353</v>
      </c>
    </row>
    <row r="72" ht="22.5" customHeight="1">
      <c r="A72" s="149" t="s">
        <v>159</v>
      </c>
      <c r="B72" s="25" t="s">
        <v>23</v>
      </c>
      <c r="C72" s="150" t="s">
        <v>354</v>
      </c>
      <c r="D72" s="150" t="s">
        <v>355</v>
      </c>
    </row>
    <row r="73" ht="22.5" customHeight="1">
      <c r="A73" s="151" t="s">
        <v>56</v>
      </c>
      <c r="B73" s="25" t="s">
        <v>189</v>
      </c>
      <c r="C73" s="150" t="s">
        <v>356</v>
      </c>
      <c r="D73" s="150" t="s">
        <v>357</v>
      </c>
    </row>
    <row r="74" ht="22.5" customHeight="1">
      <c r="A74" s="149" t="s">
        <v>145</v>
      </c>
      <c r="B74" s="25" t="s">
        <v>358</v>
      </c>
      <c r="C74" s="150" t="s">
        <v>359</v>
      </c>
      <c r="D74" s="150" t="s">
        <v>360</v>
      </c>
    </row>
    <row r="75" ht="22.5" customHeight="1">
      <c r="A75" s="149" t="s">
        <v>176</v>
      </c>
      <c r="B75" s="25" t="s">
        <v>7</v>
      </c>
      <c r="C75" s="150" t="s">
        <v>361</v>
      </c>
      <c r="D75" s="150" t="s">
        <v>362</v>
      </c>
    </row>
    <row r="76" ht="22.5" customHeight="1">
      <c r="A76" s="149" t="s">
        <v>149</v>
      </c>
      <c r="B76" s="25" t="s">
        <v>263</v>
      </c>
      <c r="C76" s="150" t="s">
        <v>363</v>
      </c>
      <c r="D76" s="150" t="s">
        <v>364</v>
      </c>
    </row>
    <row r="77" ht="22.5" customHeight="1">
      <c r="A77" s="149" t="s">
        <v>134</v>
      </c>
      <c r="B77" s="25" t="s">
        <v>209</v>
      </c>
      <c r="C77" s="150" t="s">
        <v>365</v>
      </c>
      <c r="D77" s="150" t="s">
        <v>366</v>
      </c>
    </row>
    <row r="78" ht="22.5" customHeight="1">
      <c r="A78" s="57" t="s">
        <v>108</v>
      </c>
      <c r="B78" s="25" t="s">
        <v>11</v>
      </c>
      <c r="C78" s="150" t="s">
        <v>367</v>
      </c>
      <c r="D78" s="150" t="s">
        <v>368</v>
      </c>
    </row>
    <row r="79" ht="22.5" customHeight="1">
      <c r="A79" s="149" t="s">
        <v>120</v>
      </c>
      <c r="B79" s="25" t="s">
        <v>11</v>
      </c>
      <c r="C79" s="150" t="s">
        <v>369</v>
      </c>
      <c r="D79" s="150" t="s">
        <v>370</v>
      </c>
    </row>
    <row r="80" ht="22.5" customHeight="1">
      <c r="A80" s="149" t="s">
        <v>128</v>
      </c>
      <c r="B80" s="25" t="s">
        <v>18</v>
      </c>
      <c r="C80" s="150" t="s">
        <v>371</v>
      </c>
      <c r="D80" s="150" t="s">
        <v>372</v>
      </c>
    </row>
    <row r="81" ht="22.5" customHeight="1">
      <c r="A81" s="149" t="s">
        <v>154</v>
      </c>
      <c r="B81" s="25" t="s">
        <v>373</v>
      </c>
      <c r="C81" s="150" t="s">
        <v>374</v>
      </c>
      <c r="D81" s="150" t="s">
        <v>375</v>
      </c>
    </row>
    <row r="82" ht="22.5" customHeight="1">
      <c r="A82" s="156" t="s">
        <v>33</v>
      </c>
      <c r="B82" s="25" t="s">
        <v>190</v>
      </c>
      <c r="C82" s="150" t="s">
        <v>376</v>
      </c>
      <c r="D82" s="150" t="s">
        <v>377</v>
      </c>
    </row>
    <row r="83" ht="22.5" customHeight="1">
      <c r="A83" s="149" t="s">
        <v>141</v>
      </c>
      <c r="B83" s="25" t="s">
        <v>10</v>
      </c>
      <c r="C83" s="150" t="s">
        <v>378</v>
      </c>
      <c r="D83" s="150" t="s">
        <v>379</v>
      </c>
    </row>
    <row r="84" ht="22.5" customHeight="1">
      <c r="A84" s="149" t="s">
        <v>129</v>
      </c>
      <c r="B84" s="25" t="s">
        <v>6</v>
      </c>
      <c r="C84" s="150" t="s">
        <v>380</v>
      </c>
      <c r="D84" s="150" t="s">
        <v>381</v>
      </c>
    </row>
    <row r="85" ht="22.5" customHeight="1">
      <c r="A85" s="151" t="s">
        <v>55</v>
      </c>
      <c r="B85" s="25" t="s">
        <v>191</v>
      </c>
      <c r="C85" s="150" t="s">
        <v>382</v>
      </c>
      <c r="D85" s="150" t="s">
        <v>383</v>
      </c>
    </row>
    <row r="86" ht="22.5" customHeight="1">
      <c r="A86" s="23" t="s">
        <v>73</v>
      </c>
      <c r="B86" s="25" t="s">
        <v>10</v>
      </c>
      <c r="C86" s="150" t="s">
        <v>384</v>
      </c>
      <c r="D86" s="150" t="s">
        <v>385</v>
      </c>
    </row>
    <row r="87" ht="22.5" customHeight="1">
      <c r="A87" s="28" t="s">
        <v>92</v>
      </c>
      <c r="B87" s="25" t="s">
        <v>24</v>
      </c>
      <c r="C87" s="150" t="s">
        <v>386</v>
      </c>
      <c r="D87" s="150" t="s">
        <v>387</v>
      </c>
    </row>
    <row r="88" ht="22.5" customHeight="1">
      <c r="A88" s="152" t="s">
        <v>51</v>
      </c>
      <c r="B88" s="25" t="s">
        <v>18</v>
      </c>
      <c r="C88" s="150" t="s">
        <v>388</v>
      </c>
      <c r="D88" s="150" t="s">
        <v>389</v>
      </c>
    </row>
    <row r="89" ht="22.5" customHeight="1">
      <c r="A89" s="161" t="s">
        <v>65</v>
      </c>
      <c r="B89" s="25" t="s">
        <v>192</v>
      </c>
      <c r="C89" s="150" t="s">
        <v>390</v>
      </c>
      <c r="D89" s="150" t="s">
        <v>391</v>
      </c>
    </row>
    <row r="90" ht="22.5" customHeight="1">
      <c r="A90" s="162" t="s">
        <v>167</v>
      </c>
      <c r="B90" s="25" t="s">
        <v>392</v>
      </c>
      <c r="C90" s="150" t="s">
        <v>393</v>
      </c>
      <c r="D90" s="150" t="s">
        <v>394</v>
      </c>
    </row>
    <row r="91" ht="22.5" customHeight="1">
      <c r="A91" s="163" t="s">
        <v>106</v>
      </c>
      <c r="B91" s="25" t="s">
        <v>6</v>
      </c>
      <c r="C91" s="150" t="s">
        <v>395</v>
      </c>
      <c r="D91" s="150" t="s">
        <v>396</v>
      </c>
    </row>
    <row r="92" ht="22.5" customHeight="1">
      <c r="A92" s="23" t="s">
        <v>43</v>
      </c>
      <c r="B92" s="25" t="s">
        <v>193</v>
      </c>
      <c r="C92" s="150" t="s">
        <v>397</v>
      </c>
      <c r="D92" s="150" t="s">
        <v>398</v>
      </c>
    </row>
    <row r="93" ht="22.5" customHeight="1">
      <c r="A93" s="149" t="s">
        <v>121</v>
      </c>
      <c r="B93" s="25" t="s">
        <v>399</v>
      </c>
      <c r="C93" s="150" t="s">
        <v>400</v>
      </c>
      <c r="D93" s="150" t="s">
        <v>401</v>
      </c>
    </row>
    <row r="94" ht="22.5" customHeight="1">
      <c r="A94" s="159" t="s">
        <v>78</v>
      </c>
      <c r="B94" s="25" t="s">
        <v>20</v>
      </c>
      <c r="C94" s="150" t="s">
        <v>402</v>
      </c>
      <c r="D94" s="150" t="s">
        <v>403</v>
      </c>
    </row>
    <row r="95" ht="22.5" customHeight="1">
      <c r="A95" s="23" t="s">
        <v>117</v>
      </c>
      <c r="B95" s="25" t="s">
        <v>6</v>
      </c>
      <c r="C95" s="150" t="s">
        <v>404</v>
      </c>
      <c r="D95" s="150" t="s">
        <v>405</v>
      </c>
    </row>
    <row r="96" ht="22.5" customHeight="1">
      <c r="A96" s="23" t="s">
        <v>82</v>
      </c>
      <c r="B96" s="25" t="s">
        <v>6</v>
      </c>
      <c r="C96" s="150" t="s">
        <v>406</v>
      </c>
      <c r="D96" s="150" t="s">
        <v>407</v>
      </c>
    </row>
    <row r="97" ht="22.5" customHeight="1">
      <c r="A97" s="23" t="s">
        <v>77</v>
      </c>
      <c r="B97" s="25" t="s">
        <v>194</v>
      </c>
      <c r="C97" s="150" t="s">
        <v>408</v>
      </c>
      <c r="D97" s="150" t="s">
        <v>409</v>
      </c>
    </row>
    <row r="98" ht="22.5" customHeight="1">
      <c r="A98" s="164" t="s">
        <v>87</v>
      </c>
      <c r="B98" s="25" t="s">
        <v>410</v>
      </c>
      <c r="C98" s="150" t="s">
        <v>411</v>
      </c>
      <c r="D98" s="150" t="s">
        <v>409</v>
      </c>
    </row>
    <row r="99" ht="22.5" customHeight="1">
      <c r="A99" s="164" t="s">
        <v>86</v>
      </c>
      <c r="B99" s="25" t="s">
        <v>193</v>
      </c>
      <c r="C99" s="150" t="s">
        <v>412</v>
      </c>
      <c r="D99" s="150" t="s">
        <v>413</v>
      </c>
    </row>
    <row r="100" ht="22.5" customHeight="1">
      <c r="A100" s="165" t="s">
        <v>38</v>
      </c>
      <c r="B100" s="25" t="s">
        <v>16</v>
      </c>
      <c r="C100" s="150" t="s">
        <v>414</v>
      </c>
      <c r="D100" s="150" t="s">
        <v>415</v>
      </c>
    </row>
    <row r="101" ht="22.5" customHeight="1">
      <c r="A101" s="166" t="s">
        <v>49</v>
      </c>
      <c r="B101" s="25" t="s">
        <v>195</v>
      </c>
      <c r="C101" s="150" t="s">
        <v>416</v>
      </c>
      <c r="D101" s="150" t="s">
        <v>417</v>
      </c>
    </row>
    <row r="102" ht="22.5" customHeight="1">
      <c r="A102" s="167" t="s">
        <v>63</v>
      </c>
      <c r="B102" s="25" t="s">
        <v>18</v>
      </c>
      <c r="C102" s="150" t="s">
        <v>418</v>
      </c>
      <c r="D102" s="150" t="s">
        <v>419</v>
      </c>
    </row>
    <row r="103" ht="22.5" customHeight="1">
      <c r="A103" s="162" t="s">
        <v>140</v>
      </c>
      <c r="B103" s="25" t="s">
        <v>420</v>
      </c>
      <c r="C103" s="150" t="s">
        <v>421</v>
      </c>
      <c r="D103" s="150" t="s">
        <v>422</v>
      </c>
    </row>
    <row r="104" ht="22.5" customHeight="1">
      <c r="A104" s="162" t="s">
        <v>163</v>
      </c>
      <c r="B104" s="25" t="s">
        <v>6</v>
      </c>
      <c r="C104" s="150" t="s">
        <v>423</v>
      </c>
      <c r="D104" s="150" t="s">
        <v>424</v>
      </c>
    </row>
    <row r="105" ht="22.5" customHeight="1">
      <c r="A105" s="162" t="s">
        <v>148</v>
      </c>
      <c r="B105" s="25" t="s">
        <v>22</v>
      </c>
      <c r="C105" s="150" t="s">
        <v>425</v>
      </c>
      <c r="D105" s="150" t="s">
        <v>426</v>
      </c>
    </row>
    <row r="106" ht="22.5" customHeight="1">
      <c r="A106" s="168" t="s">
        <v>196</v>
      </c>
      <c r="B106" s="43" t="s">
        <v>18</v>
      </c>
      <c r="C106" s="150" t="s">
        <v>427</v>
      </c>
      <c r="D106" s="150" t="s">
        <v>428</v>
      </c>
    </row>
    <row r="107" ht="22.5" customHeight="1">
      <c r="A107" s="168" t="s">
        <v>79</v>
      </c>
      <c r="B107" s="25" t="s">
        <v>189</v>
      </c>
      <c r="C107" s="150" t="s">
        <v>429</v>
      </c>
      <c r="D107" s="150" t="s">
        <v>430</v>
      </c>
    </row>
    <row r="108" ht="22.5" customHeight="1">
      <c r="A108" s="149" t="s">
        <v>165</v>
      </c>
      <c r="B108" s="25" t="s">
        <v>392</v>
      </c>
      <c r="C108" s="150" t="s">
        <v>431</v>
      </c>
      <c r="D108" s="150" t="s">
        <v>432</v>
      </c>
    </row>
    <row r="109" ht="22.5" customHeight="1">
      <c r="A109" s="163" t="s">
        <v>96</v>
      </c>
      <c r="B109" s="25" t="s">
        <v>433</v>
      </c>
      <c r="C109" s="150" t="s">
        <v>434</v>
      </c>
      <c r="D109" s="150" t="s">
        <v>435</v>
      </c>
    </row>
    <row r="110" ht="22.5" customHeight="1">
      <c r="A110" s="162" t="s">
        <v>175</v>
      </c>
      <c r="B110" s="25" t="s">
        <v>436</v>
      </c>
      <c r="C110" s="150" t="s">
        <v>437</v>
      </c>
      <c r="D110" s="150" t="s">
        <v>438</v>
      </c>
    </row>
    <row r="111" ht="22.5" customHeight="1">
      <c r="A111" s="57" t="s">
        <v>107</v>
      </c>
      <c r="B111" s="25" t="s">
        <v>392</v>
      </c>
      <c r="C111" s="150" t="s">
        <v>439</v>
      </c>
      <c r="D111" s="150" t="s">
        <v>440</v>
      </c>
    </row>
    <row r="112" ht="22.5" customHeight="1">
      <c r="A112" s="168" t="s">
        <v>88</v>
      </c>
      <c r="B112" s="25" t="s">
        <v>27</v>
      </c>
      <c r="C112" s="150" t="s">
        <v>441</v>
      </c>
      <c r="D112" s="150" t="s">
        <v>442</v>
      </c>
    </row>
    <row r="113" ht="22.5" customHeight="1">
      <c r="A113" s="162" t="s">
        <v>157</v>
      </c>
      <c r="B113" s="25" t="s">
        <v>18</v>
      </c>
      <c r="C113" s="150" t="s">
        <v>443</v>
      </c>
      <c r="D113" s="150" t="s">
        <v>444</v>
      </c>
    </row>
    <row r="114" ht="22.5" customHeight="1">
      <c r="A114" s="162" t="s">
        <v>156</v>
      </c>
      <c r="B114" s="25" t="s">
        <v>6</v>
      </c>
      <c r="C114" s="150" t="s">
        <v>445</v>
      </c>
      <c r="D114" s="150" t="s">
        <v>446</v>
      </c>
    </row>
    <row r="115" ht="22.5" customHeight="1">
      <c r="A115" s="162" t="s">
        <v>135</v>
      </c>
      <c r="B115" s="25" t="s">
        <v>447</v>
      </c>
      <c r="C115" s="150" t="s">
        <v>448</v>
      </c>
      <c r="D115" s="150" t="s">
        <v>449</v>
      </c>
    </row>
    <row r="116" ht="22.5" customHeight="1">
      <c r="A116" s="165" t="s">
        <v>34</v>
      </c>
      <c r="B116" s="25" t="s">
        <v>450</v>
      </c>
      <c r="C116" s="150" t="s">
        <v>451</v>
      </c>
      <c r="D116" s="150" t="s">
        <v>452</v>
      </c>
    </row>
    <row r="117" ht="22.5" customHeight="1">
      <c r="A117" s="165" t="s">
        <v>39</v>
      </c>
      <c r="B117" s="25" t="s">
        <v>18</v>
      </c>
      <c r="C117" s="150" t="s">
        <v>453</v>
      </c>
      <c r="D117" s="150" t="s">
        <v>454</v>
      </c>
    </row>
    <row r="118" ht="22.5" customHeight="1">
      <c r="A118" s="57" t="s">
        <v>68</v>
      </c>
      <c r="B118" s="25" t="s">
        <v>6</v>
      </c>
      <c r="C118" s="150" t="s">
        <v>455</v>
      </c>
      <c r="D118" s="150" t="s">
        <v>456</v>
      </c>
    </row>
    <row r="119" ht="22.5" customHeight="1">
      <c r="A119" s="169" t="s">
        <v>35</v>
      </c>
      <c r="B119" s="25" t="s">
        <v>197</v>
      </c>
      <c r="C119" s="150" t="s">
        <v>457</v>
      </c>
      <c r="D119" s="150" t="s">
        <v>458</v>
      </c>
    </row>
    <row r="120" ht="22.5" customHeight="1">
      <c r="A120" s="23" t="s">
        <v>100</v>
      </c>
      <c r="B120" s="43" t="s">
        <v>6</v>
      </c>
      <c r="C120" s="150" t="s">
        <v>459</v>
      </c>
      <c r="D120" s="150" t="s">
        <v>460</v>
      </c>
    </row>
    <row r="121" ht="22.5" customHeight="1">
      <c r="A121" s="28" t="s">
        <v>42</v>
      </c>
      <c r="B121" s="25" t="s">
        <v>6</v>
      </c>
      <c r="C121" s="150" t="s">
        <v>461</v>
      </c>
      <c r="D121" s="150" t="s">
        <v>462</v>
      </c>
    </row>
    <row r="122" ht="22.5" customHeight="1">
      <c r="A122" s="162" t="s">
        <v>170</v>
      </c>
      <c r="B122" s="25" t="s">
        <v>463</v>
      </c>
      <c r="C122" s="150" t="s">
        <v>464</v>
      </c>
      <c r="D122" s="150" t="s">
        <v>465</v>
      </c>
    </row>
    <row r="123" ht="22.5" customHeight="1">
      <c r="A123" s="162" t="s">
        <v>124</v>
      </c>
      <c r="B123" s="25" t="s">
        <v>466</v>
      </c>
      <c r="C123" s="150" t="s">
        <v>467</v>
      </c>
      <c r="D123" s="150" t="s">
        <v>468</v>
      </c>
    </row>
    <row r="124" ht="22.5" customHeight="1">
      <c r="A124" s="162" t="s">
        <v>133</v>
      </c>
      <c r="B124" s="25" t="s">
        <v>469</v>
      </c>
      <c r="C124" s="150" t="s">
        <v>470</v>
      </c>
      <c r="D124" s="150" t="s">
        <v>471</v>
      </c>
    </row>
    <row r="125" ht="22.5" customHeight="1">
      <c r="A125" s="164" t="s">
        <v>90</v>
      </c>
      <c r="B125" s="25" t="s">
        <v>469</v>
      </c>
      <c r="C125" s="150" t="s">
        <v>472</v>
      </c>
      <c r="D125" s="150" t="s">
        <v>473</v>
      </c>
    </row>
    <row r="126" ht="22.5" customHeight="1">
      <c r="A126" s="23" t="s">
        <v>103</v>
      </c>
      <c r="B126" s="43" t="s">
        <v>18</v>
      </c>
      <c r="C126" s="150" t="s">
        <v>474</v>
      </c>
      <c r="D126" s="150" t="s">
        <v>475</v>
      </c>
    </row>
    <row r="127" ht="22.5" customHeight="1">
      <c r="A127" s="149" t="s">
        <v>123</v>
      </c>
      <c r="B127" s="25" t="s">
        <v>476</v>
      </c>
      <c r="C127" s="150" t="s">
        <v>477</v>
      </c>
      <c r="D127" s="150" t="s">
        <v>478</v>
      </c>
    </row>
    <row r="128" ht="22.5" customHeight="1">
      <c r="A128" s="149" t="s">
        <v>139</v>
      </c>
      <c r="B128" s="25" t="s">
        <v>479</v>
      </c>
      <c r="C128" s="150" t="s">
        <v>480</v>
      </c>
      <c r="D128" s="150" t="s">
        <v>481</v>
      </c>
    </row>
    <row r="129" ht="22.5" customHeight="1">
      <c r="A129" s="149" t="s">
        <v>160</v>
      </c>
      <c r="B129" s="25" t="s">
        <v>7</v>
      </c>
      <c r="C129" s="150" t="s">
        <v>482</v>
      </c>
      <c r="D129" s="150" t="s">
        <v>483</v>
      </c>
    </row>
    <row r="130" ht="22.5" customHeight="1">
      <c r="A130" s="162" t="s">
        <v>127</v>
      </c>
      <c r="B130" s="25" t="s">
        <v>27</v>
      </c>
      <c r="C130" s="150" t="s">
        <v>484</v>
      </c>
      <c r="D130" s="150" t="s">
        <v>485</v>
      </c>
    </row>
    <row r="131" ht="22.5" customHeight="1">
      <c r="A131" s="162" t="s">
        <v>131</v>
      </c>
      <c r="B131" s="25" t="s">
        <v>194</v>
      </c>
      <c r="C131" s="150" t="s">
        <v>486</v>
      </c>
      <c r="D131" s="150" t="s">
        <v>487</v>
      </c>
    </row>
    <row r="132" ht="22.5" customHeight="1">
      <c r="A132" s="162" t="s">
        <v>158</v>
      </c>
      <c r="B132" s="25" t="s">
        <v>6</v>
      </c>
      <c r="C132" s="150" t="s">
        <v>488</v>
      </c>
      <c r="D132" s="150" t="s">
        <v>489</v>
      </c>
    </row>
    <row r="133" ht="22.5" customHeight="1">
      <c r="A133" s="162" t="s">
        <v>150</v>
      </c>
      <c r="B133" s="25" t="s">
        <v>20</v>
      </c>
      <c r="C133" s="150" t="s">
        <v>490</v>
      </c>
      <c r="D133" s="150" t="s">
        <v>491</v>
      </c>
    </row>
    <row r="134" ht="22.5" customHeight="1">
      <c r="A134" s="165" t="s">
        <v>40</v>
      </c>
      <c r="B134" s="25" t="s">
        <v>20</v>
      </c>
      <c r="C134" s="150" t="s">
        <v>492</v>
      </c>
      <c r="D134" s="150" t="s">
        <v>493</v>
      </c>
    </row>
    <row r="135" ht="22.5" customHeight="1">
      <c r="A135" s="162"/>
      <c r="B135" s="154"/>
      <c r="C135" s="46"/>
      <c r="D135" s="170"/>
    </row>
    <row r="136" ht="22.5" customHeight="1">
      <c r="A136" s="165"/>
      <c r="B136" s="25"/>
      <c r="C136" s="46"/>
    </row>
    <row r="137" ht="22.5" customHeight="1">
      <c r="A137" s="171"/>
      <c r="B137" s="25"/>
      <c r="C137" s="46"/>
    </row>
    <row r="138" ht="22.5" customHeight="1">
      <c r="A138" s="171"/>
      <c r="B138" s="25"/>
      <c r="C138" s="46"/>
    </row>
    <row r="139" ht="22.5" customHeight="1">
      <c r="A139" s="171"/>
      <c r="B139" s="25"/>
      <c r="C139" s="46"/>
    </row>
    <row r="140" ht="22.5" customHeight="1">
      <c r="A140" s="40"/>
      <c r="B140" s="160"/>
      <c r="C140" s="46"/>
    </row>
    <row r="141" ht="22.5" customHeight="1">
      <c r="A141" s="40"/>
      <c r="B141" s="160"/>
      <c r="C141" s="46"/>
    </row>
    <row r="142" ht="22.5" customHeight="1">
      <c r="A142" s="40"/>
      <c r="B142" s="160"/>
      <c r="C142" s="46"/>
    </row>
    <row r="143" ht="22.5" customHeight="1">
      <c r="A143" s="40"/>
      <c r="B143" s="160"/>
      <c r="C143" s="46"/>
    </row>
    <row r="144" ht="22.5" customHeight="1">
      <c r="A144" s="40"/>
      <c r="B144" s="160"/>
      <c r="C144" s="46"/>
    </row>
    <row r="145" ht="22.5" customHeight="1">
      <c r="A145" s="40"/>
      <c r="B145" s="160"/>
      <c r="C145" s="46"/>
    </row>
    <row r="146" ht="22.5" customHeight="1">
      <c r="A146" s="40"/>
      <c r="B146" s="160"/>
      <c r="C146" s="46"/>
    </row>
    <row r="147" ht="22.5" customHeight="1">
      <c r="A147" s="40"/>
      <c r="B147" s="160"/>
      <c r="C147" s="46"/>
    </row>
    <row r="148" ht="22.5" customHeight="1">
      <c r="A148" s="40"/>
      <c r="B148" s="160"/>
      <c r="C148" s="46"/>
    </row>
    <row r="149" ht="22.5" customHeight="1">
      <c r="A149" s="40"/>
      <c r="B149" s="160"/>
      <c r="C149" s="46"/>
    </row>
    <row r="150" ht="22.5" customHeight="1">
      <c r="A150" s="40"/>
      <c r="B150" s="160"/>
      <c r="C150" s="46"/>
    </row>
    <row r="151" ht="22.5" customHeight="1">
      <c r="A151" s="40"/>
      <c r="B151" s="160"/>
      <c r="C151" s="46"/>
    </row>
    <row r="152" ht="22.5" customHeight="1">
      <c r="A152" s="40"/>
      <c r="B152" s="160"/>
      <c r="C152" s="46"/>
    </row>
    <row r="153" ht="22.5" customHeight="1">
      <c r="A153" s="40"/>
      <c r="B153" s="160"/>
      <c r="C153" s="46"/>
    </row>
    <row r="154" ht="22.5" customHeight="1">
      <c r="A154" s="40"/>
      <c r="B154" s="160"/>
      <c r="C154" s="46"/>
    </row>
    <row r="155" ht="22.5" customHeight="1">
      <c r="A155" s="40"/>
      <c r="B155" s="160"/>
      <c r="C155" s="46"/>
    </row>
    <row r="156" ht="22.5" customHeight="1">
      <c r="A156" s="40"/>
      <c r="B156" s="160"/>
      <c r="C156" s="46"/>
    </row>
  </sheetData>
  <dataValidations>
    <dataValidation type="list" allowBlank="1" sqref="B2:B156">
      <formula1>#REF!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0"/>
    <col customWidth="1" min="2" max="3" width="43.75"/>
  </cols>
  <sheetData>
    <row r="1" ht="22.5" customHeight="1">
      <c r="A1" s="13" t="s">
        <v>2</v>
      </c>
      <c r="B1" s="15" t="s">
        <v>241</v>
      </c>
      <c r="C1" s="13" t="s">
        <v>243</v>
      </c>
    </row>
    <row r="2" ht="22.5" customHeight="1">
      <c r="A2" s="23" t="str">
        <f>'Показатели'!A2</f>
        <v>«Точка» формирования соц. Ответственности</v>
      </c>
      <c r="B2" s="153" t="str">
        <f>'Показатели'!B2</f>
        <v>Служение Отечеству и ответственность за его судьбу, Гражданственность</v>
      </c>
      <c r="C2" s="154"/>
    </row>
    <row r="3" ht="22.5" customHeight="1">
      <c r="A3" s="23" t="str">
        <f>'Показатели'!A3</f>
        <v>Активизация культурного потенциала территорий</v>
      </c>
      <c r="B3" s="153" t="str">
        <f>'Показатели'!B3</f>
        <v>Права и свободы человека</v>
      </c>
      <c r="C3" s="25"/>
    </row>
    <row r="4" ht="22.5" customHeight="1">
      <c r="A4" s="23" t="str">
        <f>'Показатели'!A4</f>
        <v>Альтернативная сфера досуга, сужающая «пространство» для асоциальной и противоправной деятельности</v>
      </c>
      <c r="B4" s="153" t="str">
        <f>'Показатели'!B4</f>
        <v>Жизнь, Достоинство</v>
      </c>
      <c r="C4" s="25"/>
    </row>
    <row r="5" ht="22.5" customHeight="1">
      <c r="A5" s="23" t="str">
        <f>'Показатели'!A5</f>
        <v>Безопасность среды</v>
      </c>
      <c r="B5" s="153" t="str">
        <f>'Показатели'!B5</f>
        <v>Справедливость</v>
      </c>
      <c r="C5" s="25"/>
    </row>
    <row r="6" ht="22.5" customHeight="1">
      <c r="A6" s="23" t="str">
        <f>'Показатели'!A6</f>
        <v>Вдохновение</v>
      </c>
      <c r="B6" s="153" t="str">
        <f>'Показатели'!B6</f>
        <v>Жизнь, Приоритет духовного над материальным</v>
      </c>
      <c r="C6" s="25"/>
    </row>
    <row r="7" ht="22.5" customHeight="1">
      <c r="A7" s="23" t="str">
        <f>'Показатели'!A7</f>
        <v>Вдохновение новыми идеями</v>
      </c>
      <c r="B7" s="153" t="str">
        <f>'Показатели'!B7</f>
        <v>Созидательный труд</v>
      </c>
      <c r="C7" s="25"/>
    </row>
    <row r="8" ht="22.5" customHeight="1">
      <c r="A8" s="23" t="str">
        <f>'Показатели'!A8</f>
        <v>Вклад в креативную экономику, творческие навыки предпринимателей</v>
      </c>
      <c r="B8" s="153" t="str">
        <f>'Показатели'!B8</f>
        <v>Жизнь, Созидательный труд</v>
      </c>
      <c r="C8" s="154"/>
    </row>
    <row r="9" ht="22.5" customHeight="1">
      <c r="A9" s="23" t="str">
        <f>'Показатели'!A9</f>
        <v>Вклад в личностное развитие</v>
      </c>
      <c r="B9" s="153" t="str">
        <f>'Показатели'!B9</f>
        <v>Патриотизм, Гражданственность, Высокие нравственные идеалы, Приоритет духовного над материальным, Взаимопомощь и взаимоуважение</v>
      </c>
      <c r="C9" s="25"/>
    </row>
    <row r="10" ht="22.5" customHeight="1">
      <c r="A10" s="23" t="str">
        <f>'Показатели'!A10</f>
        <v>Вклад в развитие взаимодействия и партнерства</v>
      </c>
      <c r="B10" s="153" t="str">
        <f>'Показатели'!B10</f>
        <v>Взаимопомощь и взаимоуважение</v>
      </c>
      <c r="C10" s="25"/>
    </row>
    <row r="11" ht="22.5" customHeight="1">
      <c r="A11" s="23" t="str">
        <f>'Показатели'!A11</f>
        <v>Вклад в экономику</v>
      </c>
      <c r="B11" s="153" t="str">
        <f>'Показатели'!B11</f>
        <v>Служение Отечеству и ответственность за его судьбу</v>
      </c>
      <c r="C11" s="25"/>
    </row>
    <row r="12" ht="22.5" customHeight="1">
      <c r="A12" s="23" t="str">
        <f>'Показатели'!A12</f>
        <v>Вклад в экономику региона</v>
      </c>
      <c r="B12" s="153" t="str">
        <f>'Показатели'!B12</f>
        <v>Служение Отечеству и ответственность за его судьбу</v>
      </c>
      <c r="C12" s="25"/>
    </row>
    <row r="13" ht="22.5" customHeight="1">
      <c r="A13" s="23" t="str">
        <f>'Показатели'!A13</f>
        <v>Вклад в экономическое благополучие региона</v>
      </c>
      <c r="B13" s="153" t="str">
        <f>'Показатели'!B13</f>
        <v>Служение Отечеству и ответственность за его судьбу</v>
      </c>
      <c r="C13" s="154"/>
    </row>
    <row r="14" ht="22.5" customHeight="1">
      <c r="A14" s="23" t="str">
        <f>'Показатели'!A14</f>
        <v>Владение русским литературным языком, знание истории страны</v>
      </c>
      <c r="B14" s="153" t="str">
        <f>'Показатели'!B14</f>
        <v>Историческая память и преемственность поколений</v>
      </c>
      <c r="C14" s="25"/>
    </row>
    <row r="15" ht="22.5" customHeight="1">
      <c r="A15" s="23" t="str">
        <f>'Показатели'!A15</f>
        <v>Влияние на защиту авторских прав и историческую доказательность</v>
      </c>
      <c r="B15" s="153" t="str">
        <f>'Показатели'!B15</f>
        <v>Достоинство</v>
      </c>
      <c r="C15" s="25"/>
    </row>
    <row r="16" ht="22.5" customHeight="1">
      <c r="A16" s="23" t="str">
        <f>'Показатели'!A16</f>
        <v>Влияние на малый ремесленный бизнес</v>
      </c>
      <c r="B16" s="153" t="str">
        <f>'Показатели'!B16</f>
        <v>Историческая память и преемственность поколений, Созидательный труд</v>
      </c>
      <c r="C16" s="25"/>
    </row>
    <row r="17" ht="22.5" customHeight="1">
      <c r="A17" s="23" t="str">
        <f>'Показатели'!A17</f>
        <v>Влияние на психическое самочувствие, психологическую реабилитацию</v>
      </c>
      <c r="B17" s="153" t="str">
        <f>'Показатели'!B17</f>
        <v>Жизнь, Гуманизм, Милосердие</v>
      </c>
      <c r="C17" s="154"/>
    </row>
    <row r="18" ht="22.5" customHeight="1">
      <c r="A18" s="23" t="str">
        <f>'Показатели'!A18</f>
        <v>Влияние на стоимость близлежащей недвижимости</v>
      </c>
      <c r="B18" s="153" t="str">
        <f>'Показатели'!B18</f>
        <v>Созидательный труд</v>
      </c>
      <c r="C18" s="25"/>
    </row>
    <row r="19" ht="22.5" customHeight="1">
      <c r="A19" s="23" t="str">
        <f>'Показатели'!A19</f>
        <v>Влияние на уровень грамотности и успеваемость молодежи</v>
      </c>
      <c r="B19" s="153" t="str">
        <f>'Показатели'!B19</f>
        <v>Жизнь, Достоинство</v>
      </c>
      <c r="C19" s="25"/>
    </row>
    <row r="20" ht="22.5" customHeight="1">
      <c r="A20" s="23" t="str">
        <f>'Показатели'!A20</f>
        <v>Вовлечение жителей в процесс развития региона</v>
      </c>
      <c r="B20" s="153" t="str">
        <f>'Показатели'!B20</f>
        <v>Служение Отечеству и ответственность за его судьбу</v>
      </c>
      <c r="C20" s="154"/>
    </row>
    <row r="21" ht="22.5" customHeight="1">
      <c r="A21" s="23" t="str">
        <f>'Показатели'!A21</f>
        <v>Вовлечение местных жителей в процесс возрождения территорий</v>
      </c>
      <c r="B21" s="153" t="str">
        <f>'Показатели'!B21</f>
        <v>Служение Отечеству и ответственность за его судьбу, Гражданственность, Патриотизм</v>
      </c>
      <c r="C21" s="154"/>
    </row>
    <row r="22" ht="22.5" customHeight="1">
      <c r="A22" s="23" t="str">
        <f>'Показатели'!A22</f>
        <v>Воздействие на отношение к своему здоровью</v>
      </c>
      <c r="B22" s="153" t="str">
        <f>'Показатели'!B22</f>
        <v>Жизнь</v>
      </c>
      <c r="C22" s="154"/>
    </row>
    <row r="23" ht="22.5" customHeight="1">
      <c r="A23" s="23" t="str">
        <f>'Показатели'!A23</f>
        <v>возможности самовыражения членов локального сообщества через вовлечение в творческие практики</v>
      </c>
      <c r="B23" s="153" t="str">
        <f>'Показатели'!B23</f>
        <v>Жизнь</v>
      </c>
      <c r="C23" s="154"/>
    </row>
    <row r="24" ht="22.5" customHeight="1">
      <c r="A24" s="23" t="str">
        <f>'Показатели'!A24</f>
        <v>Возможности самореализации</v>
      </c>
      <c r="B24" s="153" t="str">
        <f>'Показатели'!B24</f>
        <v>Достоинство</v>
      </c>
      <c r="C24" s="160"/>
    </row>
    <row r="25" ht="22.5" customHeight="1">
      <c r="A25" s="23" t="str">
        <f>'Показатели'!A25</f>
        <v>Возможность отвлечения от повседневных забот</v>
      </c>
      <c r="B25" s="153" t="str">
        <f>'Показатели'!B25</f>
        <v>Крепкая семья</v>
      </c>
      <c r="C25" s="160"/>
    </row>
    <row r="26" ht="22.5" customHeight="1">
      <c r="A26" s="23" t="str">
        <f>'Показатели'!A26</f>
        <v>возможность творческого или символического самовыражения</v>
      </c>
      <c r="B26" s="153" t="str">
        <f>'Показатели'!B26</f>
        <v>Жизнь</v>
      </c>
      <c r="C26" s="160"/>
    </row>
    <row r="27" ht="22.5" customHeight="1">
      <c r="A27" s="23" t="str">
        <f>'Показатели'!A27</f>
        <v>Вызов традиционному способу предоставления услуг</v>
      </c>
      <c r="B27" s="153" t="str">
        <f>'Показатели'!B27</f>
        <v>Жизнь, Права и свободы человека</v>
      </c>
      <c r="C27" s="160"/>
    </row>
    <row r="28" ht="22.5" customHeight="1">
      <c r="A28" s="23" t="str">
        <f>'Показатели'!A28</f>
        <v>выражение общих смыслов (включая духовную, трансперсональную связь)</v>
      </c>
      <c r="B28" s="153" t="str">
        <f>'Показатели'!B28</f>
        <v>Приоритет духовного над материальным</v>
      </c>
      <c r="C28" s="160"/>
    </row>
    <row r="29" ht="22.5" customHeight="1">
      <c r="A29" s="23" t="str">
        <f>'Показатели'!A29</f>
        <v>Гармонизация социально-экономического развития регионов страны, особенно малых городов и сельских поселений</v>
      </c>
      <c r="B29" s="153" t="str">
        <f>'Показатели'!B29</f>
        <v>Служение Отечеству и ответственность за его судьбу, Единство народов России, Патриотизм</v>
      </c>
      <c r="C29" s="160"/>
    </row>
    <row r="30" ht="22.5" customHeight="1">
      <c r="A30" s="23" t="str">
        <f t="shared" ref="A30:B30" si="1">#REF!</f>
        <v>#REF!</v>
      </c>
      <c r="B30" s="153" t="str">
        <f t="shared" si="1"/>
        <v>#REF!</v>
      </c>
      <c r="C30" s="160"/>
    </row>
    <row r="31" ht="22.5" customHeight="1">
      <c r="A31" s="23" t="str">
        <f>'Показатели'!A30</f>
        <v>Городская реновация</v>
      </c>
      <c r="B31" s="153" t="str">
        <f>'Показатели'!B30</f>
        <v>Служение Отечеству и ответственность за его судьбу</v>
      </c>
      <c r="C31" s="160"/>
    </row>
    <row r="32" ht="22.5" customHeight="1">
      <c r="A32" s="23" t="str">
        <f>'Показатели'!A31</f>
        <v>Достоинство</v>
      </c>
      <c r="B32" s="153" t="str">
        <f>'Показатели'!B31</f>
        <v>Достоинство</v>
      </c>
      <c r="C32" s="160"/>
    </row>
    <row r="33" ht="22.5" customHeight="1">
      <c r="A33" s="23" t="str">
        <f>'Показатели'!A32</f>
        <v>Доступность среды </v>
      </c>
      <c r="B33" s="153" t="str">
        <f>'Показатели'!B32</f>
        <v>Справедливость</v>
      </c>
      <c r="C33" s="160"/>
    </row>
    <row r="34" ht="22.5" customHeight="1">
      <c r="A34" s="23" t="str">
        <f>'Показатели'!A33</f>
        <v>Зеленый менеджмент и девелопмент среды</v>
      </c>
      <c r="B34" s="153" t="str">
        <f>'Показатели'!B33</f>
        <v>Служение Отечеству и ответственность за его судьбу</v>
      </c>
      <c r="C34" s="160"/>
    </row>
    <row r="35" ht="22.5" customHeight="1">
      <c r="A35" s="23" t="str">
        <f>'Показатели'!A34</f>
        <v>Изменение благополучия локального сообщества / рост социального капитала</v>
      </c>
      <c r="B35" s="153" t="str">
        <f>'Показатели'!B34</f>
        <v>Жизнь, Достоинство, Права и свободы человека</v>
      </c>
      <c r="C35" s="160"/>
    </row>
    <row r="36" ht="22.5" customHeight="1">
      <c r="A36" s="23" t="str">
        <f>'Показатели'!A35</f>
        <v>Изменение знаний и навыков</v>
      </c>
      <c r="B36" s="153" t="str">
        <f>'Показатели'!B35</f>
        <v>Жизнь</v>
      </c>
      <c r="C36" s="160"/>
    </row>
    <row r="37" ht="22.5" customHeight="1">
      <c r="A37" s="23" t="str">
        <f>'Показатели'!A36</f>
        <v>Изменение отношения к культуре, обществу, наследию, экологии …</v>
      </c>
      <c r="B37" s="153" t="str">
        <f>'Показатели'!B36</f>
        <v>Патриотизм, Гражданственность, Высокие нравственные идеалы, Историческая память и преемственность поколений</v>
      </c>
      <c r="C37" s="160"/>
    </row>
    <row r="38" ht="22.5" customHeight="1">
      <c r="A38" s="23" t="str">
        <f t="shared" ref="A38:B38" si="2">#REF!</f>
        <v>#REF!</v>
      </c>
      <c r="B38" s="153" t="str">
        <f t="shared" si="2"/>
        <v>#REF!</v>
      </c>
      <c r="C38" s="160"/>
    </row>
    <row r="39" ht="22.5" customHeight="1">
      <c r="A39" s="23" t="str">
        <f t="shared" ref="A39:B39" si="3">#REF!</f>
        <v>#REF!</v>
      </c>
      <c r="B39" s="153" t="str">
        <f t="shared" si="3"/>
        <v>#REF!</v>
      </c>
      <c r="C39" s="160"/>
    </row>
    <row r="40" ht="22.5" customHeight="1">
      <c r="A40" s="23" t="str">
        <f>'Показатели'!A37</f>
        <v>Изменение поведения</v>
      </c>
      <c r="B40" s="153" t="str">
        <f>'Показатели'!B37</f>
        <v>Приоритет духовного над материальным</v>
      </c>
      <c r="C40" s="160"/>
    </row>
    <row r="41" ht="22.5" customHeight="1">
      <c r="A41" s="23" t="str">
        <f>'Показатели'!A38</f>
        <v>Изменение понимания/ ожиданий возможностей самореализации</v>
      </c>
      <c r="B41" s="153" t="str">
        <f>'Показатели'!B38</f>
        <v>Взаимопомощь и взаимоуважение</v>
      </c>
      <c r="C41" s="160"/>
    </row>
    <row r="42" ht="22.5" customHeight="1">
      <c r="A42" s="23" t="str">
        <f>'Показатели'!A39</f>
        <v>Изменение чувства безопасности</v>
      </c>
      <c r="B42" s="153" t="str">
        <f>'Показатели'!B39</f>
        <v>Права и свободы человека</v>
      </c>
      <c r="C42" s="160"/>
    </row>
    <row r="43" ht="22.5" customHeight="1">
      <c r="A43" s="23" t="str">
        <f t="shared" ref="A43:B43" si="4">#REF!</f>
        <v>#REF!</v>
      </c>
      <c r="B43" s="153" t="str">
        <f t="shared" si="4"/>
        <v>#REF!</v>
      </c>
      <c r="C43" s="160"/>
    </row>
    <row r="44" ht="22.5" customHeight="1">
      <c r="A44" s="23" t="str">
        <f>'Показатели'!A40</f>
        <v>Изменение чувства валидированности (не стигматизированности)</v>
      </c>
      <c r="B44" s="153" t="str">
        <f>'Показатели'!B40</f>
        <v>Права и свободы человека, Достоинство, Гуманизм, Милосердие, Взаимопомощь и взаимоуважение, Справедливость</v>
      </c>
      <c r="C44" s="160"/>
    </row>
    <row r="45" ht="22.5" customHeight="1">
      <c r="A45" s="23" t="str">
        <f>'Показатели'!A41</f>
        <v>Капитализация культурных институций</v>
      </c>
      <c r="B45" s="153" t="str">
        <f>'Показатели'!B41</f>
        <v>Созидательный труд</v>
      </c>
      <c r="C45" s="160"/>
    </row>
    <row r="46" ht="22.5" customHeight="1">
      <c r="A46" s="23" t="str">
        <f>'Показатели'!A42</f>
        <v>Капитализация культурных организаций и проектов</v>
      </c>
      <c r="B46" s="153" t="str">
        <f>'Показатели'!B42</f>
        <v>Созидательный труд</v>
      </c>
      <c r="C46" s="160"/>
    </row>
    <row r="47" ht="22.5" customHeight="1">
      <c r="A47" s="23" t="str">
        <f>'Показатели'!A43</f>
        <v>Качественный рост культурных и досуговых запросов граждан, в том числе в отношении медиапродукции</v>
      </c>
      <c r="B47" s="153" t="str">
        <f>'Показатели'!B43</f>
        <v>Высокие нравственные идеалы, Приоритет духовного над материальным</v>
      </c>
      <c r="C47" s="160"/>
    </row>
    <row r="48" ht="22.5" customHeight="1">
      <c r="A48" s="23" t="str">
        <f>'Показатели'!A44</f>
        <v>Когнитивный рост</v>
      </c>
      <c r="B48" s="153" t="str">
        <f>'Показатели'!B44</f>
        <v>Жизнь</v>
      </c>
      <c r="C48" s="160"/>
    </row>
    <row r="49" ht="22.5" customHeight="1">
      <c r="A49" s="23" t="str">
        <f>'Показатели'!A45</f>
        <v>Конкурентоспособность региона</v>
      </c>
      <c r="B49" s="153" t="str">
        <f>'Показатели'!B45</f>
        <v>Служение Отечеству и ответственность за его судьбу</v>
      </c>
      <c r="C49" s="160"/>
    </row>
    <row r="50" ht="22.5" customHeight="1">
      <c r="A50" s="23" t="str">
        <f>'Показатели'!A46</f>
        <v>Консолидация местного сообщества</v>
      </c>
      <c r="B50" s="153" t="str">
        <f>'Показатели'!B46</f>
        <v>Гражданственность, Служение Отечеству и ответственность за его судьбу, Коллективизм, Историческая память и преемственность поколений</v>
      </c>
      <c r="C50" s="160"/>
    </row>
    <row r="51" ht="22.5" customHeight="1">
      <c r="A51" s="23" t="str">
        <f t="shared" ref="A51:B51" si="5">#REF!</f>
        <v>#REF!</v>
      </c>
      <c r="B51" s="153" t="str">
        <f t="shared" si="5"/>
        <v>#REF!</v>
      </c>
      <c r="C51" s="160"/>
    </row>
    <row r="52" ht="22.5" customHeight="1">
      <c r="A52" s="23" t="str">
        <f>'Показатели'!A47</f>
        <v>Мотивация активного времяпровождения</v>
      </c>
      <c r="B52" s="153" t="str">
        <f>'Показатели'!B47</f>
        <v>Жизнь</v>
      </c>
      <c r="C52" s="160"/>
    </row>
    <row r="53" ht="22.5" customHeight="1">
      <c r="A53" s="23" t="str">
        <f>'Показатели'!A48</f>
        <v>Мотивация активного образа жизни</v>
      </c>
      <c r="B53" s="153" t="str">
        <f>'Показатели'!B48</f>
        <v>Жизнь</v>
      </c>
      <c r="C53" s="160"/>
    </row>
    <row r="54" ht="22.5" customHeight="1">
      <c r="A54" s="23" t="str">
        <f>'Показатели'!A49</f>
        <v>Мотивация путешествий и активного времяпровождения</v>
      </c>
      <c r="B54" s="153" t="str">
        <f>'Показатели'!B49</f>
        <v>Жизнь</v>
      </c>
      <c r="C54" s="160"/>
    </row>
    <row r="55" ht="22.5" customHeight="1">
      <c r="A55" s="23" t="str">
        <f>'Показатели'!A50</f>
        <v>Национальная идентичность / развитие межнациональных / межкультурных связей</v>
      </c>
      <c r="B55" s="153" t="str">
        <f>'Показатели'!B50</f>
        <v>Единство народов России</v>
      </c>
      <c r="C55" s="160"/>
    </row>
    <row r="56" ht="22.5" customHeight="1">
      <c r="A56" s="23" t="str">
        <f>'Показатели'!A51</f>
        <v>Обеспечение возможности отвлечения от повседневных забот</v>
      </c>
      <c r="B56" s="153" t="str">
        <f>'Показатели'!B51</f>
        <v>Крепкая семья</v>
      </c>
      <c r="C56" s="160"/>
    </row>
    <row r="57" ht="22.5" customHeight="1">
      <c r="A57" s="23" t="str">
        <f>'Показатели'!A52</f>
        <v>Обеспечение условий для развлечений, удовольствий, радости</v>
      </c>
      <c r="B57" s="153" t="str">
        <f>'Показатели'!B52</f>
        <v>Крепкая семья</v>
      </c>
      <c r="C57" s="160"/>
    </row>
    <row r="58" ht="22.5" customHeight="1">
      <c r="A58" s="23" t="str">
        <f>'Показатели'!A53</f>
        <v>Обогащение культурно-интеллектуального досуга жителей и гостей </v>
      </c>
      <c r="B58" s="153" t="str">
        <f>'Показатели'!B53</f>
        <v>Приоритет духовного над материальным</v>
      </c>
      <c r="C58" s="160"/>
    </row>
    <row r="59" ht="22.5" customHeight="1">
      <c r="A59" s="23" t="str">
        <f>'Показатели'!A54</f>
        <v>опыт переживания эстетического удовольствия</v>
      </c>
      <c r="B59" s="153" t="str">
        <f>'Показатели'!B54</f>
        <v>Приоритет духовного над материальным</v>
      </c>
      <c r="C59" s="160"/>
    </row>
    <row r="60" ht="22.5" customHeight="1">
      <c r="A60" s="23" t="str">
        <f>'Показатели'!A55</f>
        <v>Освоенность общественных зон</v>
      </c>
      <c r="B60" s="153" t="str">
        <f>'Показатели'!B55</f>
        <v>Справедливость</v>
      </c>
      <c r="C60" s="160"/>
    </row>
    <row r="61" ht="22.5" customHeight="1">
      <c r="A61" s="23" t="str">
        <f>'Показатели'!A56</f>
        <v>Ответственное отношение к своему здоровью</v>
      </c>
      <c r="B61" s="153" t="str">
        <f>'Показатели'!B56</f>
        <v>Жизнь</v>
      </c>
      <c r="C61" s="160"/>
    </row>
    <row r="62" ht="22.5" customHeight="1">
      <c r="A62" s="23" t="str">
        <f>'Показатели'!A57</f>
        <v>Повышение знаний и актуализация представления о современной культурной, образовательной, литературной повестках России</v>
      </c>
      <c r="B62" s="153" t="str">
        <f>'Показатели'!B57</f>
        <v>Приоритет духовного над материальным</v>
      </c>
      <c r="C62" s="160"/>
    </row>
    <row r="63" ht="22.5" customHeight="1">
      <c r="A63" s="23" t="str">
        <f>'Показатели'!A58</f>
        <v>Повышение навыков обучения</v>
      </c>
      <c r="B63" s="153" t="str">
        <f>'Показатели'!B58</f>
        <v>Созидательный труд</v>
      </c>
      <c r="C63" s="160"/>
    </row>
    <row r="64" ht="22.5" customHeight="1">
      <c r="A64" s="23" t="str">
        <f>'Показатели'!A59</f>
        <v>Повышение общей удовлетворенности жизнью через самовыражение</v>
      </c>
      <c r="B64" s="153" t="str">
        <f>'Показатели'!B59</f>
        <v>Достоинство</v>
      </c>
      <c r="C64" s="160"/>
    </row>
    <row r="65" ht="22.5" customHeight="1">
      <c r="A65" s="23" t="str">
        <f>'Показатели'!A60</f>
        <v>Повышение ожиданий публики от уровня культурных событий в городе в целом, интерес к новым именам (расширение кругозора и мотивации)</v>
      </c>
      <c r="B65" s="153" t="str">
        <f>'Показатели'!B60</f>
        <v>Приоритет духовного над материальным</v>
      </c>
      <c r="C65" s="160"/>
    </row>
    <row r="66" ht="22.5" customHeight="1">
      <c r="A66" s="23" t="str">
        <f>'Показатели'!A61</f>
        <v>Повышение привлекательности для туристов (иностранных и из других регионов)</v>
      </c>
      <c r="B66" s="153" t="str">
        <f>'Показатели'!B61</f>
        <v>Историческая память и преемственность поколений</v>
      </c>
      <c r="C66" s="160"/>
    </row>
    <row r="67" ht="22.5" customHeight="1">
      <c r="A67" s="23" t="str">
        <f>'Показатели'!A62</f>
        <v>Повышение самоэффективности,</v>
      </c>
      <c r="B67" s="153" t="str">
        <f>'Показатели'!B62</f>
        <v>Созидательный труд</v>
      </c>
      <c r="C67" s="160"/>
    </row>
    <row r="68" ht="22.5" customHeight="1">
      <c r="A68" s="23" t="str">
        <f>'Показатели'!A63</f>
        <v>Повышение социокультурного потенциала общества</v>
      </c>
      <c r="B68" s="153" t="str">
        <f>'Показатели'!B63</f>
        <v>Приоритет духовного над материальным</v>
      </c>
      <c r="C68" s="160"/>
    </row>
    <row r="69" ht="22.5" customHeight="1">
      <c r="A69" s="23" t="str">
        <f>'Показатели'!A64</f>
        <v>Повышение удовлетворенностью жизнью</v>
      </c>
      <c r="B69" s="153" t="str">
        <f>'Показатели'!B64</f>
        <v>Достоинство</v>
      </c>
      <c r="C69" s="160"/>
    </row>
    <row r="70" ht="22.5" customHeight="1">
      <c r="A70" s="23" t="str">
        <f>'Показатели'!A65</f>
        <v>Повышение уровня знаний</v>
      </c>
      <c r="B70" s="153" t="str">
        <f>'Показатели'!B65</f>
        <v>Жизнь</v>
      </c>
      <c r="C70" s="160"/>
    </row>
    <row r="71" ht="22.5" customHeight="1">
      <c r="A71" s="23" t="str">
        <f>'Показатели'!A66</f>
        <v>Повышение уровня знаний в обществе</v>
      </c>
      <c r="B71" s="153" t="str">
        <f>'Показатели'!B66</f>
        <v>Приоритет духовного над материальным</v>
      </c>
      <c r="C71" s="160"/>
    </row>
    <row r="72" ht="22.5" customHeight="1">
      <c r="A72" s="23" t="str">
        <f>'Показатели'!A67</f>
        <v>Повышение эффектов благополучия (стресс, самооценка, уверенность, удовольствие…)</v>
      </c>
      <c r="B72" s="153" t="str">
        <f>'Показатели'!B67</f>
        <v>Достоинство</v>
      </c>
      <c r="C72" s="160"/>
    </row>
    <row r="73" ht="22.5" customHeight="1">
      <c r="A73" s="23" t="str">
        <f>'Показатели'!A68</f>
        <v>Поддержка людей в том, чтобы позитивно встречать риски</v>
      </c>
      <c r="B73" s="153" t="str">
        <f>'Показатели'!B68</f>
        <v>Достоинство</v>
      </c>
      <c r="C73" s="160"/>
    </row>
    <row r="74" ht="22.5" customHeight="1">
      <c r="A74" s="23" t="str">
        <f>'Показатели'!A69</f>
        <v>Позитивная связь с миром природы</v>
      </c>
      <c r="B74" s="153" t="str">
        <f>'Показатели'!B69</f>
        <v>Жизнь</v>
      </c>
      <c r="C74" s="160"/>
    </row>
    <row r="75" ht="22.5" customHeight="1">
      <c r="A75" s="23" t="str">
        <f>'Показатели'!A70</f>
        <v>Позитивное ощущение места</v>
      </c>
      <c r="B75" s="153" t="str">
        <f>'Показатели'!B70</f>
        <v>Жизнь</v>
      </c>
      <c r="C75" s="160"/>
    </row>
    <row r="76" ht="22.5" customHeight="1">
      <c r="A76" s="23" t="str">
        <f>'Показатели'!A71</f>
        <v>Помощь в изменении имиджа общественных организаций или государственных органов</v>
      </c>
      <c r="B76" s="153" t="str">
        <f>'Показатели'!B71</f>
        <v>Гражданственность</v>
      </c>
      <c r="C76" s="160"/>
    </row>
    <row r="77" ht="22.5" customHeight="1">
      <c r="A77" s="23" t="str">
        <f>'Показатели'!A72</f>
        <v>Помощь правонарушителям и потерпевшим в решении проблемы преступности</v>
      </c>
      <c r="B77" s="153" t="str">
        <f>'Показатели'!B72</f>
        <v>Справедливость</v>
      </c>
      <c r="C77" s="160"/>
    </row>
    <row r="78" ht="22.5" customHeight="1">
      <c r="A78" s="23" t="str">
        <f>'Показатели'!A73</f>
        <v>Понимание себя как части культуры, общества</v>
      </c>
      <c r="B78" s="153" t="str">
        <f>'Показатели'!B73</f>
        <v>Гражданственность, Историческая память и преемственность поколений</v>
      </c>
      <c r="C78" s="160"/>
    </row>
    <row r="79" ht="22.5" customHeight="1">
      <c r="A79" s="23" t="str">
        <f>'Показатели'!A74</f>
        <v>Поощрение взрослых использовать возможности образования и профессиональной подготовки на протяжении всей жизни</v>
      </c>
      <c r="B79" s="153" t="str">
        <f>'Показатели'!B74</f>
        <v>Достоинство, Права и свободы человека</v>
      </c>
      <c r="C79" s="160"/>
    </row>
    <row r="80" ht="22.5" customHeight="1">
      <c r="A80" s="23" t="str">
        <f>'Показатели'!A75</f>
        <v>практики рефлексии</v>
      </c>
      <c r="B80" s="153" t="str">
        <f>'Показатели'!B75</f>
        <v>Достоинство</v>
      </c>
      <c r="C80" s="160"/>
    </row>
    <row r="81" ht="22.5" customHeight="1">
      <c r="A81" s="23" t="str">
        <f>'Показатели'!A76</f>
        <v>Привлекательность «точки» культуры для творческих людей и профессий, влияние на состав населения и за счёт этого на благополучие территории</v>
      </c>
      <c r="B81" s="153" t="str">
        <f>'Показатели'!B76</f>
        <v>Жизнь, Права и свободы человека</v>
      </c>
      <c r="C81" s="160"/>
    </row>
    <row r="82" ht="22.5" customHeight="1">
      <c r="A82" s="23" t="str">
        <f>'Показатели'!A77</f>
        <v>Привлекательность региона</v>
      </c>
      <c r="B82" s="153" t="str">
        <f>'Показатели'!B77</f>
        <v>Жизнь, Достоинство</v>
      </c>
      <c r="C82" s="160"/>
    </row>
    <row r="83" ht="22.5" customHeight="1">
      <c r="A83" s="23" t="str">
        <f>'Показатели'!A78</f>
        <v>Проявление общественной значимости</v>
      </c>
      <c r="B83" s="153" t="str">
        <f>'Показатели'!B78</f>
        <v>Служение Отечеству и ответственность за его судьбу</v>
      </c>
      <c r="C83" s="160"/>
    </row>
    <row r="84" ht="22.5" customHeight="1">
      <c r="A84" s="23" t="str">
        <f>'Показатели'!A79</f>
        <v>Прямой вклад в экономическое развитие как поставщика услуг</v>
      </c>
      <c r="B84" s="153" t="str">
        <f>'Показатели'!B79</f>
        <v>Служение Отечеству и ответственность за его судьбу</v>
      </c>
      <c r="C84" s="160"/>
    </row>
    <row r="85" ht="22.5" customHeight="1">
      <c r="A85" s="23" t="str">
        <f>'Показатели'!A80</f>
        <v>Прямой и косвенный вклад в занятость</v>
      </c>
      <c r="B85" s="153" t="str">
        <f>'Показатели'!B80</f>
        <v>Созидательный труд</v>
      </c>
      <c r="C85" s="160"/>
    </row>
    <row r="86" ht="22.5" customHeight="1">
      <c r="A86" s="23" t="str">
        <f>'Показатели'!A81</f>
        <v>Равенство возможностей</v>
      </c>
      <c r="B86" s="153" t="str">
        <f>'Показатели'!B81</f>
        <v>Достоинство, Справедливость, Милосердие, Гуманизм</v>
      </c>
      <c r="C86" s="160"/>
    </row>
    <row r="87" ht="22.5" customHeight="1">
      <c r="A87" s="23" t="str">
        <f>'Показатели'!A82</f>
        <v>Развитие гражданского участия, вовлеченности</v>
      </c>
      <c r="B87" s="153" t="str">
        <f>'Показатели'!B82</f>
        <v>Права и свободы человека, Гражданственность</v>
      </c>
      <c r="C87" s="160"/>
    </row>
    <row r="88" ht="22.5" customHeight="1">
      <c r="A88" s="23" t="str">
        <f>'Показатели'!A83</f>
        <v>Развитие гражданского участия, вовлечённости, ответственности, местного политического процесса</v>
      </c>
      <c r="B88" s="153" t="str">
        <f>'Показатели'!B83</f>
        <v>Гражданственность</v>
      </c>
      <c r="C88" s="160"/>
    </row>
    <row r="89" ht="22.5" customHeight="1">
      <c r="A89" s="23" t="str">
        <f>'Показатели'!A84</f>
        <v>Развитие когнитивных способностей</v>
      </c>
      <c r="B89" s="153" t="str">
        <f>'Показатели'!B84</f>
        <v>Жизнь</v>
      </c>
      <c r="C89" s="160"/>
    </row>
    <row r="90" ht="22.5" customHeight="1">
      <c r="A90" s="23" t="str">
        <f>'Показатели'!A85</f>
        <v>Развитие контактов между поколениями </v>
      </c>
      <c r="B90" s="153" t="str">
        <f>'Показатели'!B85</f>
        <v>Гуманизм, Коллективизм, Историческая память и преемственность поколений</v>
      </c>
      <c r="C90" s="160"/>
    </row>
    <row r="91" ht="22.5" customHeight="1">
      <c r="A91" s="23" t="str">
        <f>'Показатели'!A86</f>
        <v>Развитие лидерских качеств</v>
      </c>
      <c r="B91" s="153" t="str">
        <f>'Показатели'!B86</f>
        <v>Гражданственность</v>
      </c>
      <c r="C91" s="160"/>
    </row>
    <row r="92" ht="22.5" customHeight="1">
      <c r="A92" s="23" t="str">
        <f>'Показатели'!A87</f>
        <v>Развитие партнерств</v>
      </c>
      <c r="B92" s="153" t="str">
        <f>'Показатели'!B87</f>
        <v>Коллективизм</v>
      </c>
      <c r="C92" s="160"/>
    </row>
    <row r="93" ht="22.5" customHeight="1">
      <c r="A93" s="23" t="str">
        <f>'Показатели'!A88</f>
        <v>Развитие рынка труда в сфере культуры
</v>
      </c>
      <c r="B93" s="153" t="str">
        <f>'Показатели'!B88</f>
        <v>Созидательный труд</v>
      </c>
      <c r="C93" s="160"/>
    </row>
    <row r="94" ht="22.5" customHeight="1">
      <c r="A94" s="23" t="str">
        <f>'Показатели'!A89</f>
        <v>Развитие сообщества творческих профессионалов</v>
      </c>
      <c r="B94" s="153" t="str">
        <f>'Показатели'!B89</f>
        <v>Созидательный труд, Коллективизм</v>
      </c>
      <c r="C94" s="160"/>
    </row>
    <row r="95" ht="22.5" customHeight="1">
      <c r="A95" s="23" t="str">
        <f>'Показатели'!A90</f>
        <v>развитие сообщества художников, креативных индустрий,</v>
      </c>
      <c r="B95" s="153" t="str">
        <f>'Показатели'!B90</f>
        <v>Коллективизм, Взаимопомощь и взаимоуважение</v>
      </c>
      <c r="C95" s="160"/>
    </row>
    <row r="96" ht="22.5" customHeight="1">
      <c r="A96" s="23" t="str">
        <f>'Показатели'!A91</f>
        <v>Развитие социального капитала</v>
      </c>
      <c r="B96" s="153" t="str">
        <f>'Показатели'!B91</f>
        <v>Жизнь</v>
      </c>
      <c r="C96" s="160"/>
    </row>
    <row r="97" ht="22.5" customHeight="1">
      <c r="A97" s="23" t="str">
        <f>'Показатели'!A92</f>
        <v>Развитие эмоционального интеллекта</v>
      </c>
      <c r="B97" s="153" t="str">
        <f>'Показатели'!B92</f>
        <v>Взаимопомощь и взаимоуважение, Милосердие, Гуманизм</v>
      </c>
      <c r="C97" s="160"/>
    </row>
    <row r="98" ht="22.5" customHeight="1">
      <c r="A98" s="23" t="str">
        <f>'Показатели'!A93</f>
        <v>Расширение возможностей получения знаний (по сферам/отраслям знаний)</v>
      </c>
      <c r="B98" s="153" t="str">
        <f>'Показатели'!B93</f>
        <v>Справедливость, Жизнь</v>
      </c>
      <c r="C98" s="160"/>
    </row>
    <row r="99" ht="22.5" customHeight="1">
      <c r="A99" s="23" t="str">
        <f>'Показатели'!A94</f>
        <v>Расширение пользовательского и культурного опыта жителей  за счет участия в событиях различных форматов</v>
      </c>
      <c r="B99" s="153" t="str">
        <f>'Показатели'!B94</f>
        <v>Приоритет духовного над материальным</v>
      </c>
      <c r="C99" s="160"/>
    </row>
    <row r="100" ht="22.5" customHeight="1">
      <c r="A100" s="23" t="str">
        <f>'Показатели'!A95</f>
        <v>Расширение потенциала</v>
      </c>
      <c r="B100" s="153" t="str">
        <f>'Показатели'!B95</f>
        <v>Жизнь</v>
      </c>
      <c r="C100" s="160"/>
    </row>
    <row r="101" ht="22.5" customHeight="1">
      <c r="A101" s="23" t="str">
        <f>'Показатели'!A96</f>
        <v>Расширение участия</v>
      </c>
      <c r="B101" s="153" t="str">
        <f>'Показатели'!B96</f>
        <v>Жизнь</v>
      </c>
      <c r="C101" s="160"/>
    </row>
    <row r="102" ht="22.5" customHeight="1">
      <c r="A102" s="23" t="str">
        <f>'Показатели'!A97</f>
        <v>Расширение участия в социальной деятельности</v>
      </c>
      <c r="B102" s="153" t="str">
        <f>'Показатели'!B97</f>
        <v>Гражданственность, Служение Отечеству и ответственность за его судьбу</v>
      </c>
      <c r="C102" s="160"/>
    </row>
    <row r="103" ht="22.5" customHeight="1">
      <c r="A103" s="23" t="str">
        <f>'Показатели'!A98</f>
        <v>Расширенная способность к саморефлексии</v>
      </c>
      <c r="B103" s="153" t="str">
        <f>'Показатели'!B98</f>
        <v>Взаимопомощь и взаимоуважение, Жизнь</v>
      </c>
      <c r="C103" s="160"/>
    </row>
    <row r="104" ht="22.5" customHeight="1">
      <c r="A104" s="23" t="str">
        <f>'Показатели'!A99</f>
        <v>Расширенная способность к сопереживанию</v>
      </c>
      <c r="B104" s="153" t="str">
        <f>'Показатели'!B99</f>
        <v>Взаимопомощь и взаимоуважение, Милосердие, Гуманизм</v>
      </c>
      <c r="C104" s="160"/>
    </row>
    <row r="105" ht="22.5" customHeight="1">
      <c r="A105" s="23" t="str">
        <f>'Показатели'!A100</f>
        <v>Рост общественной ценности и повышение статуса семьи</v>
      </c>
      <c r="B105" s="153" t="str">
        <f>'Показатели'!B100</f>
        <v>Крепкая семья</v>
      </c>
      <c r="C105" s="160"/>
    </row>
    <row r="106" ht="22.5" customHeight="1">
      <c r="A106" s="23" t="str">
        <f>'Показатели'!A101</f>
        <v>Рост социального капитала</v>
      </c>
      <c r="B106" s="153" t="str">
        <f>'Показатели'!B101</f>
        <v>Гражданственность, Гуманизм</v>
      </c>
      <c r="C106" s="160"/>
    </row>
    <row r="107" ht="22.5" customHeight="1">
      <c r="A107" s="23" t="str">
        <f>'Показатели'!A102</f>
        <v>Рост цифровизации сферы культуры и искусства </v>
      </c>
      <c r="B107" s="153" t="str">
        <f>'Показатели'!B102</f>
        <v>Созидательный труд</v>
      </c>
      <c r="C107" s="160"/>
    </row>
    <row r="108" ht="22.5" customHeight="1">
      <c r="A108" s="23" t="str">
        <f>'Показатели'!A103</f>
        <v>Система услуг для пожилых / для людей с ограниченными возможностями</v>
      </c>
      <c r="B108" s="153" t="str">
        <f>'Показатели'!B103</f>
        <v>Достоинство, Милосердие, Справедливость</v>
      </c>
      <c r="C108" s="160"/>
    </row>
    <row r="109" ht="22.5" customHeight="1">
      <c r="A109" s="23" t="str">
        <f>'Показатели'!A104</f>
        <v>Снижение антропогенного воздействия</v>
      </c>
      <c r="B109" s="153" t="str">
        <f>'Показатели'!B104</f>
        <v>Жизнь</v>
      </c>
      <c r="C109" s="160"/>
    </row>
    <row r="110" ht="22.5" customHeight="1">
      <c r="A110" s="23" t="str">
        <f>'Показатели'!A105</f>
        <v>Снижение стигматизации и маргинализации</v>
      </c>
      <c r="B110" s="153" t="str">
        <f>'Показатели'!B105</f>
        <v>Милосердие</v>
      </c>
      <c r="C110" s="160"/>
    </row>
    <row r="111" ht="22.5" customHeight="1">
      <c r="A111" s="23" t="str">
        <f>'Показатели'!A106</f>
        <v>Содействие ведению текущей деятельности  культурных институций</v>
      </c>
      <c r="B111" s="153" t="str">
        <f>'Показатели'!B106</f>
        <v>Созидательный труд</v>
      </c>
      <c r="C111" s="160"/>
    </row>
    <row r="112" ht="22.5" customHeight="1">
      <c r="A112" s="23" t="str">
        <f>'Показатели'!A107</f>
        <v>Содействие людям в исследовании своих ценностей, смыслов и мечтаний</v>
      </c>
      <c r="B112" s="153" t="str">
        <f>'Показатели'!B107</f>
        <v>Гражданственность, Историческая память и преемственность поколений</v>
      </c>
      <c r="C112" s="160"/>
    </row>
    <row r="113" ht="22.5" customHeight="1">
      <c r="A113" s="23" t="str">
        <f>'Показатели'!A108</f>
        <v>Содействие развитию партнерства</v>
      </c>
      <c r="B113" s="153" t="str">
        <f>'Показатели'!B108</f>
        <v>Коллективизм, Взаимопомощь и взаимоуважение</v>
      </c>
      <c r="C113" s="160"/>
    </row>
    <row r="114" ht="22.5" customHeight="1">
      <c r="A114" s="23" t="str">
        <f>'Показатели'!A109</f>
        <v>Содействие развитию сообщества</v>
      </c>
      <c r="B114" s="153" t="str">
        <f>'Показатели'!B109</f>
        <v>Гражданственность, Патриотизм, Коллективизм</v>
      </c>
      <c r="C114" s="160"/>
    </row>
    <row r="115" ht="22.5" customHeight="1">
      <c r="A115" s="23" t="str">
        <f>'Показатели'!A110</f>
        <v>Содействие созданию более спокойной атмосферы в медицинских центрах</v>
      </c>
      <c r="B115" s="153" t="str">
        <f>'Показатели'!B110</f>
        <v>Достоинство, Милосердие, Гуманизм</v>
      </c>
      <c r="C115" s="160"/>
    </row>
    <row r="116" ht="22.5" customHeight="1">
      <c r="A116" s="23" t="str">
        <f>'Показатели'!A111</f>
        <v>Создание социальных связей</v>
      </c>
      <c r="B116" s="153" t="str">
        <f>'Показатели'!B111</f>
        <v>Коллективизм, Взаимопомощь и взаимоуважение</v>
      </c>
      <c r="C116" s="160"/>
    </row>
    <row r="117" ht="22.5" customHeight="1">
      <c r="A117" s="23" t="str">
        <f>'Показатели'!A112</f>
        <v>Сохранение наследия</v>
      </c>
      <c r="B117" s="153" t="str">
        <f>'Показатели'!B112</f>
        <v>Историческая память и преемственность поколений</v>
      </c>
      <c r="C117" s="160"/>
    </row>
    <row r="118" ht="22.5" customHeight="1">
      <c r="A118" s="23" t="str">
        <f>'Показатели'!A113</f>
        <v>Спрос на инженерно-технические решения и инновационные технологии (климатическая техника, охранная техника и безопасность, освещение, системы хранения, противодействие правонарушениям в сфере культуры)</v>
      </c>
      <c r="B118" s="153" t="str">
        <f>'Показатели'!B113</f>
        <v>Созидательный труд</v>
      </c>
      <c r="C118" s="160"/>
    </row>
    <row r="119" ht="22.5" customHeight="1">
      <c r="A119" s="23" t="str">
        <f>'Показатели'!A114</f>
        <v>стимуляция креативности</v>
      </c>
      <c r="B119" s="153" t="str">
        <f>'Показатели'!B114</f>
        <v>Жизнь</v>
      </c>
      <c r="C119" s="160"/>
    </row>
    <row r="120" ht="22.5" customHeight="1">
      <c r="A120" s="23" t="str">
        <f>'Показатели'!A115</f>
        <v>уважение к разнообразию и непохожести</v>
      </c>
      <c r="B120" s="153" t="str">
        <f>'Показатели'!B115</f>
        <v>Справедливость, Милосердие, Гуманизм</v>
      </c>
      <c r="C120" s="160"/>
    </row>
    <row r="121" ht="22.5" customHeight="1">
      <c r="A121" s="23" t="str">
        <f>'Показатели'!A116</f>
        <v>Увеличение числа граждан (молодежи), стремящихся жить и работать на родине</v>
      </c>
      <c r="B121" s="153" t="str">
        <f>'Показатели'!B116</f>
        <v>Права и свободы человека, Созидательный труд, Патриотизм</v>
      </c>
      <c r="C121" s="160"/>
    </row>
    <row r="122" ht="22.5" customHeight="1">
      <c r="A122" s="23" t="str">
        <f t="shared" ref="A122:B122" si="6">#REF!</f>
        <v>#REF!</v>
      </c>
      <c r="B122" s="153" t="str">
        <f t="shared" si="6"/>
        <v>#REF!</v>
      </c>
      <c r="C122" s="160"/>
    </row>
    <row r="123" ht="22.5" customHeight="1">
      <c r="A123" s="23" t="str">
        <f>'Показатели'!A117</f>
        <v>Увеличилась трудовая мобильность работников сферы искусства (в т. ч. студентов профильных ВУЗов) из центров в регионы </v>
      </c>
      <c r="B123" s="153" t="str">
        <f>'Показатели'!B117</f>
        <v>Созидательный труд</v>
      </c>
      <c r="C123" s="160"/>
    </row>
    <row r="124" ht="22.5" customHeight="1">
      <c r="A124" s="23" t="str">
        <f>'Показатели'!A118</f>
        <v>Удовольствие</v>
      </c>
      <c r="B124" s="153" t="str">
        <f>'Показатели'!B118</f>
        <v>Жизнь</v>
      </c>
      <c r="C124" s="160"/>
    </row>
    <row r="125" ht="22.5" customHeight="1">
      <c r="A125" s="23" t="str">
        <f>'Показатели'!A119</f>
        <v>Укрепление единства и сплоченности общества на основе гражданской идентичности, сохранение духовно-нравственных ценностей</v>
      </c>
      <c r="B125" s="153" t="str">
        <f>'Показатели'!B119</f>
        <v>Патриотизм, Гражданственность, Служение Отечеству и ответственность за его судьбу, Высокие нравственные идеалы, Приоритет духовного над материальным</v>
      </c>
      <c r="C125" s="160"/>
    </row>
    <row r="126" ht="22.5" customHeight="1">
      <c r="A126" s="23" t="str">
        <f>'Показатели'!A120</f>
        <v>Укрепление социального капитала</v>
      </c>
      <c r="B126" s="153" t="str">
        <f>'Показатели'!B120</f>
        <v>Жизнь</v>
      </c>
      <c r="C126" s="160"/>
    </row>
    <row r="127" ht="22.5" customHeight="1">
      <c r="A127" s="23" t="str">
        <f>'Показатели'!A121</f>
        <v>Улучшенные навыки коммуникации</v>
      </c>
      <c r="B127" s="153" t="str">
        <f>'Показатели'!B121</f>
        <v>Жизнь</v>
      </c>
      <c r="C127" s="160"/>
    </row>
    <row r="128" ht="22.5" customHeight="1">
      <c r="A128" s="23" t="str">
        <f>'Показатели'!A122</f>
        <v>Уменьшение изоляции, через обретение новых дружеских связей</v>
      </c>
      <c r="B128" s="153" t="str">
        <f>'Показатели'!B122</f>
        <v>Милосердие, Справедливость, Гуманизм</v>
      </c>
      <c r="C128" s="160"/>
    </row>
    <row r="129" ht="22.5" customHeight="1">
      <c r="A129" s="23" t="str">
        <f>'Показатели'!A123</f>
        <v>Услуги для людей с ограниченными возможностями</v>
      </c>
      <c r="B129" s="153" t="str">
        <f>'Показатели'!B123</f>
        <v>Милосердие, Гуманизм, Справедливость</v>
      </c>
      <c r="C129" s="160"/>
    </row>
    <row r="130" ht="22.5" customHeight="1">
      <c r="A130" s="23" t="str">
        <f>'Показатели'!A124</f>
        <v>Формирование гордости, уважительного отношения к месту проживания</v>
      </c>
      <c r="B130" s="153" t="str">
        <f>'Показатели'!B124</f>
        <v>Патриотизм, Гражданственность</v>
      </c>
      <c r="C130" s="160"/>
    </row>
    <row r="131" ht="22.5" customHeight="1">
      <c r="A131" s="23" t="str">
        <f>'Показатели'!A125</f>
        <v>Формирование идентичности</v>
      </c>
      <c r="B131" s="153" t="str">
        <f>'Показатели'!B125</f>
        <v>Патриотизм, Гражданственность</v>
      </c>
      <c r="C131" s="160"/>
    </row>
    <row r="132" ht="22.5" customHeight="1">
      <c r="A132" s="23" t="str">
        <f>'Показатели'!A126</f>
        <v>Формирование идентичности и узнаваемости</v>
      </c>
      <c r="B132" s="153" t="str">
        <f>'Показатели'!B126</f>
        <v>Созидательный труд</v>
      </c>
      <c r="C132" s="160"/>
    </row>
    <row r="133" ht="22.5" customHeight="1">
      <c r="A133" s="23" t="str">
        <f>'Показатели'!A127</f>
        <v>Формирование отношения к бережливости, уважения к наследию, созданному помимо тебя, включая природу</v>
      </c>
      <c r="B133" s="153" t="str">
        <f>'Показатели'!B127</f>
        <v>Историческая память и преемственность поколений, Служение Отечеству и ответственность за его судьбу</v>
      </c>
      <c r="C133" s="160"/>
    </row>
    <row r="134" ht="22.5" customHeight="1">
      <c r="A134" s="23" t="str">
        <f>'Показатели'!A128</f>
        <v>Формирование отношения к разнообразию</v>
      </c>
      <c r="B134" s="153" t="str">
        <f>'Показатели'!B128</f>
        <v>Гуманизм, Милосердие, Справедливость</v>
      </c>
      <c r="C134" s="160"/>
    </row>
    <row r="135" ht="22.5" customHeight="1">
      <c r="A135" s="23" t="str">
        <f>'Показатели'!A129</f>
        <v>Чувство принадлежности, причастности, вовлеченности</v>
      </c>
      <c r="B135" s="153" t="str">
        <f>'Показатели'!B129</f>
        <v>Достоинство</v>
      </c>
      <c r="C135" s="160"/>
    </row>
    <row r="136" ht="22.5" customHeight="1">
      <c r="A136" s="23" t="str">
        <f>'Показатели'!A130</f>
        <v>чувство связи с прошлым (история, наследие, идентичность)</v>
      </c>
      <c r="B136" s="153" t="str">
        <f>'Показатели'!B130</f>
        <v>Историческая память и преемственность поколений</v>
      </c>
      <c r="C136" s="160"/>
    </row>
    <row r="137" ht="22.5" customHeight="1">
      <c r="A137" s="23" t="str">
        <f>'Показатели'!A131</f>
        <v>Экологическая осведомленность / Повышение экологических знаний, осведомленность об экологических проблемах</v>
      </c>
      <c r="B137" s="153" t="str">
        <f>'Показатели'!B131</f>
        <v>Гражданственность, Служение Отечеству и ответственность за его судьбу</v>
      </c>
      <c r="C137" s="160"/>
    </row>
    <row r="138" ht="22.5" customHeight="1">
      <c r="A138" s="23" t="str">
        <f>'Показатели'!A132</f>
        <v>Экологичные привычки и поведение</v>
      </c>
      <c r="B138" s="153" t="str">
        <f>'Показатели'!B132</f>
        <v>Жизнь</v>
      </c>
      <c r="C138" s="160"/>
    </row>
    <row r="139" ht="22.5" customHeight="1">
      <c r="A139" s="23" t="str">
        <f>'Показатели'!A133</f>
        <v>Эстетические качества среды</v>
      </c>
      <c r="B139" s="153" t="str">
        <f>'Показатели'!B133</f>
        <v>Приоритет духовного над материальным</v>
      </c>
      <c r="C139" s="160"/>
    </row>
    <row r="140" ht="22.5" customHeight="1">
      <c r="A140" s="23" t="str">
        <f>'Показатели'!A134</f>
        <v>Cпособность понимать и ценить искусство и культуру</v>
      </c>
      <c r="B140" s="153" t="str">
        <f>'Показатели'!B134</f>
        <v>Приоритет духовного над материальным</v>
      </c>
      <c r="C140" s="160"/>
    </row>
    <row r="141" ht="22.5" customHeight="1">
      <c r="A141" s="23" t="str">
        <f>'Показатели'!A135</f>
        <v/>
      </c>
      <c r="B141" s="153" t="str">
        <f>'Показатели'!B135</f>
        <v/>
      </c>
      <c r="C141" s="160"/>
    </row>
    <row r="142" ht="22.5" customHeight="1">
      <c r="A142" s="23" t="str">
        <f>'Показатели'!A136</f>
        <v/>
      </c>
      <c r="B142" s="153" t="str">
        <f>'Показатели'!B136</f>
        <v/>
      </c>
      <c r="C142" s="160"/>
    </row>
    <row r="143" ht="22.5" customHeight="1">
      <c r="A143" s="23" t="str">
        <f>'Показатели'!A137</f>
        <v/>
      </c>
      <c r="B143" s="153" t="str">
        <f>'Показатели'!B137</f>
        <v/>
      </c>
      <c r="C143" s="160"/>
    </row>
    <row r="144" ht="22.5" customHeight="1">
      <c r="A144" s="23" t="str">
        <f>'Показатели'!A138</f>
        <v/>
      </c>
      <c r="B144" s="153" t="str">
        <f>'Показатели'!B138</f>
        <v/>
      </c>
      <c r="C144" s="160"/>
    </row>
    <row r="145" ht="22.5" customHeight="1">
      <c r="A145" s="23" t="str">
        <f>'Показатели'!A139</f>
        <v/>
      </c>
      <c r="B145" s="153" t="str">
        <f>'Показатели'!B139</f>
        <v/>
      </c>
      <c r="C145" s="160"/>
    </row>
    <row r="146" ht="22.5" customHeight="1">
      <c r="A146" s="23" t="str">
        <f>'Показатели'!A140</f>
        <v/>
      </c>
      <c r="B146" s="153" t="str">
        <f>'Показатели'!B140</f>
        <v/>
      </c>
      <c r="C146" s="160"/>
    </row>
    <row r="147" ht="22.5" customHeight="1">
      <c r="A147" s="23" t="str">
        <f>'Показатели'!A141</f>
        <v/>
      </c>
      <c r="B147" s="153" t="str">
        <f>'Показатели'!B141</f>
        <v/>
      </c>
      <c r="C147" s="160"/>
    </row>
    <row r="148" ht="22.5" customHeight="1">
      <c r="A148" s="23" t="str">
        <f>'Показатели'!A142</f>
        <v/>
      </c>
      <c r="B148" s="153" t="str">
        <f>'Показатели'!B142</f>
        <v/>
      </c>
      <c r="C148" s="160"/>
    </row>
    <row r="149" ht="22.5" customHeight="1">
      <c r="A149" s="23" t="str">
        <f>'Показатели'!A143</f>
        <v/>
      </c>
      <c r="B149" s="153" t="str">
        <f>'Показатели'!B143</f>
        <v/>
      </c>
      <c r="C149" s="160"/>
    </row>
    <row r="150" ht="22.5" customHeight="1">
      <c r="A150" s="23" t="str">
        <f>'Показатели'!A144</f>
        <v/>
      </c>
      <c r="B150" s="153" t="str">
        <f>'Показатели'!B144</f>
        <v/>
      </c>
      <c r="C150" s="160"/>
    </row>
    <row r="151" ht="22.5" customHeight="1">
      <c r="A151" s="23" t="str">
        <f>'Показатели'!A145</f>
        <v/>
      </c>
      <c r="B151" s="153" t="str">
        <f>'Показатели'!B145</f>
        <v/>
      </c>
      <c r="C151" s="160"/>
    </row>
    <row r="152" ht="22.5" customHeight="1">
      <c r="A152" s="23" t="str">
        <f>'Показатели'!A146</f>
        <v/>
      </c>
      <c r="B152" s="153" t="str">
        <f>'Показатели'!B146</f>
        <v/>
      </c>
      <c r="C152" s="160"/>
    </row>
    <row r="153" ht="22.5" customHeight="1">
      <c r="A153" s="23" t="str">
        <f>'Показатели'!A147</f>
        <v/>
      </c>
      <c r="B153" s="153" t="str">
        <f>'Показатели'!B147</f>
        <v/>
      </c>
      <c r="C153" s="160"/>
    </row>
    <row r="154" ht="22.5" customHeight="1">
      <c r="A154" s="23" t="str">
        <f>'Показатели'!A148</f>
        <v/>
      </c>
      <c r="B154" s="153" t="str">
        <f>'Показатели'!B148</f>
        <v/>
      </c>
      <c r="C154" s="160"/>
    </row>
    <row r="155" ht="22.5" customHeight="1">
      <c r="A155" s="23" t="str">
        <f>'Показатели'!A149</f>
        <v/>
      </c>
      <c r="B155" s="153" t="str">
        <f>'Показатели'!B149</f>
        <v/>
      </c>
      <c r="C155" s="160"/>
    </row>
    <row r="156" ht="22.5" customHeight="1">
      <c r="A156" s="23" t="str">
        <f>'Показатели'!A150</f>
        <v/>
      </c>
      <c r="B156" s="153" t="str">
        <f>'Показатели'!B150</f>
        <v/>
      </c>
      <c r="C156" s="160"/>
    </row>
    <row r="157" ht="22.5" customHeight="1">
      <c r="A157" s="23" t="str">
        <f>'Показатели'!A151</f>
        <v/>
      </c>
      <c r="B157" s="153" t="str">
        <f>'Показатели'!B151</f>
        <v/>
      </c>
      <c r="C157" s="160"/>
    </row>
    <row r="158" ht="22.5" customHeight="1">
      <c r="A158" s="23" t="str">
        <f>'Показатели'!A152</f>
        <v/>
      </c>
      <c r="B158" s="153" t="str">
        <f>'Показатели'!B152</f>
        <v/>
      </c>
      <c r="C158" s="160"/>
    </row>
    <row r="159" ht="22.5" customHeight="1">
      <c r="A159" s="23" t="str">
        <f>'Показатели'!A153</f>
        <v/>
      </c>
      <c r="B159" s="153" t="str">
        <f>'Показатели'!B153</f>
        <v/>
      </c>
      <c r="C159" s="160"/>
    </row>
    <row r="160" ht="22.5" customHeight="1">
      <c r="A160" s="23" t="str">
        <f>'Показатели'!A154</f>
        <v/>
      </c>
      <c r="B160" s="153" t="str">
        <f>'Показатели'!B154</f>
        <v/>
      </c>
      <c r="C160" s="160"/>
    </row>
    <row r="161" ht="22.5" customHeight="1">
      <c r="A161" s="23" t="str">
        <f>'Показатели'!A155</f>
        <v/>
      </c>
      <c r="B161" s="153" t="str">
        <f>'Показатели'!B155</f>
        <v/>
      </c>
      <c r="C161" s="160"/>
    </row>
    <row r="162" ht="22.5" customHeight="1">
      <c r="A162" s="23" t="str">
        <f>'Показатели'!A156</f>
        <v/>
      </c>
      <c r="B162" s="153" t="str">
        <f>'Показатели'!B156</f>
        <v/>
      </c>
      <c r="C162" s="160"/>
    </row>
    <row r="163" ht="22.5" customHeight="1">
      <c r="A163" s="23" t="str">
        <f>'Показатели'!A157</f>
        <v/>
      </c>
      <c r="B163" s="153" t="str">
        <f>'Показатели'!B157</f>
        <v/>
      </c>
      <c r="C163" s="160"/>
    </row>
    <row r="164" ht="22.5" customHeight="1">
      <c r="A164" s="23" t="str">
        <f>'Показатели'!A158</f>
        <v/>
      </c>
      <c r="B164" s="153" t="str">
        <f>'Показатели'!B158</f>
        <v/>
      </c>
      <c r="C164" s="160"/>
    </row>
    <row r="165" ht="22.5" customHeight="1">
      <c r="A165" s="23" t="str">
        <f>'Показатели'!A159</f>
        <v/>
      </c>
      <c r="B165" s="153" t="str">
        <f>'Показатели'!B159</f>
        <v/>
      </c>
      <c r="C165" s="160"/>
    </row>
    <row r="166" ht="22.5" customHeight="1">
      <c r="A166" s="23" t="str">
        <f>'Показатели'!A160</f>
        <v/>
      </c>
      <c r="B166" s="153" t="str">
        <f>'Показатели'!B160</f>
        <v/>
      </c>
      <c r="C166" s="160"/>
    </row>
    <row r="167" ht="22.5" customHeight="1">
      <c r="A167" s="23" t="str">
        <f>'Показатели'!A161</f>
        <v/>
      </c>
      <c r="B167" s="153" t="str">
        <f>'Показатели'!B161</f>
        <v/>
      </c>
      <c r="C167" s="160"/>
    </row>
    <row r="168" ht="22.5" customHeight="1">
      <c r="A168" s="23" t="str">
        <f>'Показатели'!A162</f>
        <v/>
      </c>
      <c r="B168" s="153" t="str">
        <f>'Показатели'!B162</f>
        <v/>
      </c>
      <c r="C168" s="160"/>
    </row>
    <row r="169" ht="22.5" customHeight="1">
      <c r="A169" s="23" t="str">
        <f>'Показатели'!A163</f>
        <v/>
      </c>
      <c r="B169" s="153" t="str">
        <f>'Показатели'!B163</f>
        <v/>
      </c>
      <c r="C169" s="160"/>
    </row>
    <row r="170" ht="22.5" customHeight="1">
      <c r="A170" s="23" t="str">
        <f>'Показатели'!A164</f>
        <v/>
      </c>
      <c r="B170" s="153" t="str">
        <f>'Показатели'!B164</f>
        <v/>
      </c>
      <c r="C170" s="160"/>
    </row>
    <row r="171" ht="22.5" customHeight="1">
      <c r="A171" s="23" t="str">
        <f>'Показатели'!A165</f>
        <v/>
      </c>
      <c r="B171" s="153" t="str">
        <f>'Показатели'!B165</f>
        <v/>
      </c>
      <c r="C171" s="160"/>
    </row>
    <row r="172" ht="22.5" customHeight="1">
      <c r="A172" s="23" t="str">
        <f>'Показатели'!A166</f>
        <v/>
      </c>
      <c r="B172" s="153" t="str">
        <f>'Показатели'!B166</f>
        <v/>
      </c>
      <c r="C172" s="160"/>
    </row>
    <row r="173" ht="22.5" customHeight="1">
      <c r="A173" s="23" t="str">
        <f>'Показатели'!A167</f>
        <v/>
      </c>
      <c r="B173" s="153" t="str">
        <f>'Показатели'!B167</f>
        <v/>
      </c>
      <c r="C173" s="160"/>
    </row>
    <row r="174" ht="22.5" customHeight="1">
      <c r="A174" s="23" t="str">
        <f>'Показатели'!A168</f>
        <v/>
      </c>
      <c r="B174" s="153" t="str">
        <f>'Показатели'!B168</f>
        <v/>
      </c>
      <c r="C174" s="160"/>
    </row>
    <row r="175" ht="22.5" customHeight="1">
      <c r="A175" s="23" t="str">
        <f>'Показатели'!A169</f>
        <v/>
      </c>
      <c r="B175" s="153" t="str">
        <f>'Показатели'!B169</f>
        <v/>
      </c>
      <c r="C175" s="160"/>
    </row>
    <row r="176" ht="22.5" customHeight="1">
      <c r="A176" s="23" t="str">
        <f>'Показатели'!A170</f>
        <v/>
      </c>
      <c r="B176" s="153" t="str">
        <f>'Показатели'!B170</f>
        <v/>
      </c>
      <c r="C176" s="160"/>
    </row>
    <row r="177" ht="22.5" customHeight="1">
      <c r="A177" s="23" t="str">
        <f>'Показатели'!A171</f>
        <v/>
      </c>
      <c r="B177" s="153" t="str">
        <f>'Показатели'!B171</f>
        <v/>
      </c>
      <c r="C177" s="160"/>
    </row>
    <row r="178" ht="22.5" customHeight="1">
      <c r="A178" s="23" t="str">
        <f>'Показатели'!A172</f>
        <v/>
      </c>
      <c r="B178" s="153" t="str">
        <f>'Показатели'!B172</f>
        <v/>
      </c>
      <c r="C178" s="160"/>
    </row>
    <row r="179" ht="22.5" customHeight="1">
      <c r="A179" s="23" t="str">
        <f>'Показатели'!A173</f>
        <v/>
      </c>
      <c r="B179" s="153" t="str">
        <f>'Показатели'!B173</f>
        <v/>
      </c>
      <c r="C179" s="160"/>
    </row>
    <row r="180" ht="22.5" customHeight="1">
      <c r="A180" s="23" t="str">
        <f>'Показатели'!A174</f>
        <v/>
      </c>
      <c r="B180" s="153" t="str">
        <f>'Показатели'!B174</f>
        <v/>
      </c>
      <c r="C180" s="160"/>
    </row>
    <row r="181" ht="22.5" customHeight="1">
      <c r="A181" s="23" t="str">
        <f>'Показатели'!A175</f>
        <v/>
      </c>
      <c r="B181" s="153" t="str">
        <f>'Показатели'!B175</f>
        <v/>
      </c>
      <c r="C181" s="160"/>
    </row>
    <row r="182" ht="22.5" customHeight="1">
      <c r="A182" s="23" t="str">
        <f>'Показатели'!A176</f>
        <v/>
      </c>
      <c r="B182" s="153" t="str">
        <f>'Показатели'!B176</f>
        <v/>
      </c>
      <c r="C182" s="160"/>
    </row>
    <row r="183" ht="22.5" customHeight="1">
      <c r="A183" s="23" t="str">
        <f>'Показатели'!A177</f>
        <v/>
      </c>
      <c r="B183" s="153" t="str">
        <f>'Показатели'!B177</f>
        <v/>
      </c>
      <c r="C183" s="160"/>
    </row>
    <row r="184" ht="22.5" customHeight="1">
      <c r="A184" s="23" t="str">
        <f>'Показатели'!A178</f>
        <v/>
      </c>
      <c r="B184" s="153" t="str">
        <f>'Показатели'!B178</f>
        <v/>
      </c>
      <c r="C184" s="160"/>
    </row>
    <row r="185" ht="22.5" customHeight="1">
      <c r="A185" s="23" t="str">
        <f>'Показатели'!A179</f>
        <v/>
      </c>
      <c r="B185" s="153" t="str">
        <f>'Показатели'!B179</f>
        <v/>
      </c>
      <c r="C185" s="160"/>
    </row>
    <row r="186" ht="22.5" customHeight="1">
      <c r="A186" s="23" t="str">
        <f>'Показатели'!A180</f>
        <v/>
      </c>
      <c r="B186" s="153" t="str">
        <f>'Показатели'!B180</f>
        <v/>
      </c>
      <c r="C186" s="160"/>
    </row>
    <row r="187" ht="22.5" customHeight="1">
      <c r="A187" s="23" t="str">
        <f>'Показатели'!A181</f>
        <v/>
      </c>
      <c r="B187" s="153" t="str">
        <f>'Показатели'!B181</f>
        <v/>
      </c>
      <c r="C187" s="160"/>
    </row>
    <row r="188" ht="22.5" customHeight="1">
      <c r="A188" s="23" t="str">
        <f>'Показатели'!A182</f>
        <v/>
      </c>
      <c r="B188" s="153" t="str">
        <f>'Показатели'!B182</f>
        <v/>
      </c>
      <c r="C188" s="160"/>
    </row>
    <row r="189" ht="22.5" customHeight="1">
      <c r="A189" s="23" t="str">
        <f>'Показатели'!A183</f>
        <v/>
      </c>
      <c r="B189" s="153" t="str">
        <f>'Показатели'!B183</f>
        <v/>
      </c>
      <c r="C189" s="160"/>
    </row>
    <row r="190" ht="22.5" customHeight="1">
      <c r="A190" s="23" t="str">
        <f>'Показатели'!A184</f>
        <v/>
      </c>
      <c r="B190" s="153" t="str">
        <f>'Показатели'!B184</f>
        <v/>
      </c>
      <c r="C190" s="160"/>
    </row>
    <row r="191" ht="22.5" customHeight="1">
      <c r="A191" s="23" t="str">
        <f>'Показатели'!A185</f>
        <v/>
      </c>
      <c r="B191" s="153" t="str">
        <f>'Показатели'!B185</f>
        <v/>
      </c>
      <c r="C191" s="160"/>
    </row>
    <row r="192" ht="22.5" customHeight="1">
      <c r="A192" s="23" t="str">
        <f>'Показатели'!A186</f>
        <v/>
      </c>
      <c r="B192" s="153" t="str">
        <f>'Показатели'!B186</f>
        <v/>
      </c>
      <c r="C192" s="160"/>
    </row>
    <row r="193" ht="22.5" customHeight="1">
      <c r="A193" s="23" t="str">
        <f>'Показатели'!A187</f>
        <v/>
      </c>
      <c r="B193" s="153" t="str">
        <f>'Показатели'!B187</f>
        <v/>
      </c>
      <c r="C193" s="160"/>
    </row>
    <row r="194" ht="22.5" customHeight="1">
      <c r="A194" s="23" t="str">
        <f>'Показатели'!A188</f>
        <v/>
      </c>
      <c r="B194" s="153" t="str">
        <f>'Показатели'!B188</f>
        <v/>
      </c>
      <c r="C194" s="160"/>
    </row>
    <row r="195" ht="22.5" customHeight="1">
      <c r="A195" s="23" t="str">
        <f>'Показатели'!A189</f>
        <v/>
      </c>
      <c r="B195" s="153" t="str">
        <f>'Показатели'!B189</f>
        <v/>
      </c>
      <c r="C195" s="160"/>
    </row>
    <row r="196" ht="22.5" customHeight="1">
      <c r="A196" s="23" t="str">
        <f>'Показатели'!A190</f>
        <v/>
      </c>
      <c r="B196" s="153" t="str">
        <f>'Показатели'!B190</f>
        <v/>
      </c>
      <c r="C196" s="160"/>
    </row>
    <row r="197" ht="22.5" customHeight="1">
      <c r="A197" s="23" t="str">
        <f>'Показатели'!A191</f>
        <v/>
      </c>
      <c r="B197" s="153" t="str">
        <f>'Показатели'!B191</f>
        <v/>
      </c>
      <c r="C197" s="160"/>
    </row>
    <row r="198" ht="22.5" customHeight="1">
      <c r="A198" s="23" t="str">
        <f>'Показатели'!A192</f>
        <v/>
      </c>
      <c r="B198" s="153" t="str">
        <f>'Показатели'!B192</f>
        <v/>
      </c>
      <c r="C198" s="160"/>
    </row>
    <row r="199" ht="22.5" customHeight="1">
      <c r="A199" s="23" t="str">
        <f>'Показатели'!A193</f>
        <v/>
      </c>
      <c r="B199" s="153" t="str">
        <f>'Показатели'!B193</f>
        <v/>
      </c>
      <c r="C199" s="160"/>
    </row>
    <row r="200" ht="22.5" customHeight="1">
      <c r="A200" s="23" t="str">
        <f>'Показатели'!A194</f>
        <v/>
      </c>
      <c r="B200" s="153" t="str">
        <f>'Показатели'!B194</f>
        <v/>
      </c>
      <c r="C200" s="160"/>
    </row>
    <row r="201" ht="22.5" customHeight="1">
      <c r="A201" s="23" t="str">
        <f>'Показатели'!A195</f>
        <v/>
      </c>
      <c r="B201" s="153" t="str">
        <f>'Показатели'!B195</f>
        <v/>
      </c>
      <c r="C201" s="160"/>
    </row>
    <row r="202" ht="22.5" customHeight="1">
      <c r="A202" s="23" t="str">
        <f>'Показатели'!A196</f>
        <v/>
      </c>
      <c r="B202" s="153" t="str">
        <f>'Показатели'!B196</f>
        <v/>
      </c>
      <c r="C202" s="160"/>
    </row>
    <row r="203" ht="22.5" customHeight="1">
      <c r="A203" s="23" t="str">
        <f>'Показатели'!A197</f>
        <v/>
      </c>
      <c r="B203" s="153" t="str">
        <f>'Показатели'!B197</f>
        <v/>
      </c>
      <c r="C203" s="160"/>
    </row>
    <row r="204" ht="22.5" customHeight="1">
      <c r="A204" s="23" t="str">
        <f>'Показатели'!A198</f>
        <v/>
      </c>
      <c r="B204" s="153" t="str">
        <f>'Показатели'!B198</f>
        <v/>
      </c>
      <c r="C204" s="160"/>
    </row>
    <row r="205" ht="22.5" customHeight="1">
      <c r="A205" s="23" t="str">
        <f>'Показатели'!A199</f>
        <v/>
      </c>
      <c r="B205" s="153" t="str">
        <f>'Показатели'!B199</f>
        <v/>
      </c>
      <c r="C205" s="160"/>
    </row>
    <row r="206" ht="22.5" customHeight="1">
      <c r="A206" s="23" t="str">
        <f>'Показатели'!A200</f>
        <v/>
      </c>
      <c r="B206" s="153" t="str">
        <f>'Показатели'!B200</f>
        <v/>
      </c>
      <c r="C206" s="160"/>
    </row>
    <row r="207" ht="22.5" customHeight="1">
      <c r="A207" s="23" t="str">
        <f>'Показатели'!A201</f>
        <v/>
      </c>
      <c r="B207" s="153" t="str">
        <f>'Показатели'!B201</f>
        <v/>
      </c>
      <c r="C207" s="160"/>
    </row>
    <row r="208" ht="22.5" customHeight="1">
      <c r="A208" s="23" t="str">
        <f>'Показатели'!A202</f>
        <v/>
      </c>
      <c r="B208" s="153" t="str">
        <f>'Показатели'!B202</f>
        <v/>
      </c>
      <c r="C208" s="160"/>
    </row>
    <row r="209" ht="22.5" customHeight="1">
      <c r="A209" s="23" t="str">
        <f>'Показатели'!A203</f>
        <v/>
      </c>
      <c r="B209" s="153" t="str">
        <f>'Показатели'!B203</f>
        <v/>
      </c>
      <c r="C209" s="160"/>
    </row>
    <row r="210" ht="22.5" customHeight="1">
      <c r="A210" s="23" t="str">
        <f>'Показатели'!A204</f>
        <v/>
      </c>
      <c r="B210" s="153" t="str">
        <f>'Показатели'!B204</f>
        <v/>
      </c>
      <c r="C210" s="160"/>
    </row>
    <row r="211" ht="22.5" customHeight="1">
      <c r="A211" s="23" t="str">
        <f>'Показатели'!A205</f>
        <v/>
      </c>
      <c r="B211" s="153" t="str">
        <f>'Показатели'!B205</f>
        <v/>
      </c>
      <c r="C211" s="160"/>
    </row>
    <row r="212" ht="22.5" customHeight="1">
      <c r="A212" s="23" t="str">
        <f>'Показатели'!A206</f>
        <v/>
      </c>
      <c r="B212" s="153" t="str">
        <f>'Показатели'!B206</f>
        <v/>
      </c>
      <c r="C212" s="160"/>
    </row>
    <row r="213" ht="22.5" customHeight="1">
      <c r="A213" s="23" t="str">
        <f>'Показатели'!A207</f>
        <v/>
      </c>
      <c r="B213" s="153" t="str">
        <f>'Показатели'!B207</f>
        <v/>
      </c>
      <c r="C213" s="160"/>
    </row>
    <row r="214" ht="22.5" customHeight="1">
      <c r="A214" s="23" t="str">
        <f>'Показатели'!A208</f>
        <v/>
      </c>
      <c r="B214" s="153" t="str">
        <f>'Показатели'!B208</f>
        <v/>
      </c>
      <c r="C214" s="160"/>
    </row>
    <row r="215" ht="22.5" customHeight="1">
      <c r="A215" s="23" t="str">
        <f>'Показатели'!A209</f>
        <v/>
      </c>
      <c r="B215" s="153" t="str">
        <f>'Показатели'!B209</f>
        <v/>
      </c>
      <c r="C215" s="160"/>
    </row>
    <row r="216" ht="22.5" customHeight="1">
      <c r="A216" s="23" t="str">
        <f>'Показатели'!A210</f>
        <v/>
      </c>
      <c r="B216" s="153" t="str">
        <f>'Показатели'!B210</f>
        <v/>
      </c>
      <c r="C216" s="160"/>
    </row>
    <row r="217" ht="22.5" customHeight="1">
      <c r="A217" s="23" t="str">
        <f>'Показатели'!A211</f>
        <v/>
      </c>
      <c r="B217" s="153" t="str">
        <f>'Показатели'!B211</f>
        <v/>
      </c>
      <c r="C217" s="160"/>
    </row>
    <row r="218" ht="22.5" customHeight="1">
      <c r="A218" s="23" t="str">
        <f>'Показатели'!A212</f>
        <v/>
      </c>
      <c r="B218" s="153" t="str">
        <f>'Показатели'!B212</f>
        <v/>
      </c>
      <c r="C218" s="160"/>
    </row>
    <row r="219" ht="22.5" customHeight="1">
      <c r="A219" s="23" t="str">
        <f>'Показатели'!A213</f>
        <v/>
      </c>
      <c r="B219" s="153" t="str">
        <f>'Показатели'!B213</f>
        <v/>
      </c>
      <c r="C219" s="160"/>
    </row>
    <row r="220" ht="22.5" customHeight="1">
      <c r="A220" s="23" t="str">
        <f>'Показатели'!A214</f>
        <v/>
      </c>
      <c r="B220" s="153" t="str">
        <f>'Показатели'!B214</f>
        <v/>
      </c>
      <c r="C220" s="160"/>
    </row>
    <row r="221" ht="22.5" customHeight="1">
      <c r="A221" s="23" t="str">
        <f>'Показатели'!A215</f>
        <v/>
      </c>
      <c r="B221" s="153" t="str">
        <f>'Показатели'!B215</f>
        <v/>
      </c>
      <c r="C221" s="160"/>
    </row>
    <row r="222" ht="22.5" customHeight="1">
      <c r="A222" s="23" t="str">
        <f>'Показатели'!A216</f>
        <v/>
      </c>
      <c r="B222" s="153" t="str">
        <f>'Показатели'!B216</f>
        <v/>
      </c>
      <c r="C222" s="160"/>
    </row>
    <row r="223" ht="22.5" customHeight="1">
      <c r="A223" s="23" t="str">
        <f>'Показатели'!A217</f>
        <v/>
      </c>
      <c r="B223" s="153" t="str">
        <f>'Показатели'!B217</f>
        <v/>
      </c>
      <c r="C223" s="160"/>
    </row>
    <row r="224" ht="22.5" customHeight="1">
      <c r="A224" s="23" t="str">
        <f>'Показатели'!A218</f>
        <v/>
      </c>
      <c r="B224" s="153" t="str">
        <f>'Показатели'!B218</f>
        <v/>
      </c>
      <c r="C224" s="160"/>
    </row>
    <row r="225" ht="22.5" customHeight="1">
      <c r="A225" s="23" t="str">
        <f>'Показатели'!A219</f>
        <v/>
      </c>
      <c r="B225" s="153" t="str">
        <f>'Показатели'!B219</f>
        <v/>
      </c>
      <c r="C225" s="160"/>
    </row>
    <row r="226" ht="22.5" customHeight="1">
      <c r="A226" s="23" t="str">
        <f>'Показатели'!A220</f>
        <v/>
      </c>
      <c r="B226" s="153" t="str">
        <f>'Показатели'!B220</f>
        <v/>
      </c>
      <c r="C226" s="160"/>
    </row>
    <row r="227" ht="22.5" customHeight="1">
      <c r="A227" s="23" t="str">
        <f>'Показатели'!A221</f>
        <v/>
      </c>
      <c r="B227" s="153" t="str">
        <f>'Показатели'!B221</f>
        <v/>
      </c>
      <c r="C227" s="160"/>
    </row>
    <row r="228" ht="22.5" customHeight="1">
      <c r="A228" s="23" t="str">
        <f>'Показатели'!A222</f>
        <v/>
      </c>
      <c r="B228" s="153" t="str">
        <f>'Показатели'!B222</f>
        <v/>
      </c>
      <c r="C228" s="160"/>
    </row>
    <row r="229" ht="22.5" customHeight="1">
      <c r="A229" s="23" t="str">
        <f>'Показатели'!A223</f>
        <v/>
      </c>
      <c r="B229" s="153" t="str">
        <f>'Показатели'!B223</f>
        <v/>
      </c>
      <c r="C229" s="160"/>
    </row>
    <row r="230" ht="22.5" customHeight="1">
      <c r="A230" s="23" t="str">
        <f>'Показатели'!A224</f>
        <v/>
      </c>
      <c r="B230" s="153" t="str">
        <f>'Показатели'!B224</f>
        <v/>
      </c>
      <c r="C230" s="160"/>
    </row>
    <row r="231" ht="22.5" customHeight="1">
      <c r="A231" s="23" t="str">
        <f>'Показатели'!A225</f>
        <v/>
      </c>
      <c r="B231" s="153" t="str">
        <f>'Показатели'!B225</f>
        <v/>
      </c>
      <c r="C231" s="160"/>
    </row>
    <row r="232" ht="22.5" customHeight="1">
      <c r="A232" s="23" t="str">
        <f>'Показатели'!A226</f>
        <v/>
      </c>
      <c r="B232" s="153" t="str">
        <f>'Показатели'!B226</f>
        <v/>
      </c>
      <c r="C232" s="160"/>
    </row>
    <row r="233" ht="22.5" customHeight="1">
      <c r="A233" s="23" t="str">
        <f>'Показатели'!A227</f>
        <v/>
      </c>
      <c r="B233" s="153" t="str">
        <f>'Показатели'!B227</f>
        <v/>
      </c>
      <c r="C233" s="160"/>
    </row>
    <row r="234" ht="22.5" customHeight="1">
      <c r="A234" s="23" t="str">
        <f>'Показатели'!A228</f>
        <v/>
      </c>
      <c r="B234" s="153" t="str">
        <f>'Показатели'!B228</f>
        <v/>
      </c>
      <c r="C234" s="160"/>
    </row>
    <row r="235" ht="22.5" customHeight="1">
      <c r="A235" s="23" t="str">
        <f>'Показатели'!A229</f>
        <v/>
      </c>
      <c r="B235" s="153" t="str">
        <f>'Показатели'!B229</f>
        <v/>
      </c>
      <c r="C235" s="160"/>
    </row>
    <row r="236" ht="22.5" customHeight="1">
      <c r="A236" s="23" t="str">
        <f>'Показатели'!A230</f>
        <v/>
      </c>
      <c r="B236" s="153" t="str">
        <f>'Показатели'!B230</f>
        <v/>
      </c>
      <c r="C236" s="160"/>
    </row>
    <row r="237" ht="22.5" customHeight="1">
      <c r="A237" s="23" t="str">
        <f>'Показатели'!A231</f>
        <v/>
      </c>
      <c r="B237" s="153" t="str">
        <f>'Показатели'!B231</f>
        <v/>
      </c>
      <c r="C237" s="160"/>
    </row>
    <row r="238" ht="22.5" customHeight="1">
      <c r="A238" s="23" t="str">
        <f>'Показатели'!A232</f>
        <v/>
      </c>
      <c r="B238" s="153" t="str">
        <f>'Показатели'!B232</f>
        <v/>
      </c>
      <c r="C238" s="160"/>
    </row>
    <row r="239" ht="22.5" customHeight="1">
      <c r="A239" s="23" t="str">
        <f>'Показатели'!A233</f>
        <v/>
      </c>
      <c r="B239" s="153" t="str">
        <f>'Показатели'!B233</f>
        <v/>
      </c>
      <c r="C239" s="160"/>
    </row>
    <row r="240" ht="22.5" customHeight="1">
      <c r="A240" s="23" t="str">
        <f>'Показатели'!A234</f>
        <v/>
      </c>
      <c r="B240" s="153" t="str">
        <f>'Показатели'!B234</f>
        <v/>
      </c>
      <c r="C240" s="160"/>
    </row>
    <row r="241" ht="22.5" customHeight="1">
      <c r="A241" s="23" t="str">
        <f>'Показатели'!A235</f>
        <v/>
      </c>
      <c r="B241" s="153" t="str">
        <f>'Показатели'!B235</f>
        <v/>
      </c>
      <c r="C241" s="160"/>
    </row>
    <row r="242" ht="22.5" customHeight="1">
      <c r="A242" s="23" t="str">
        <f>'Показатели'!A236</f>
        <v/>
      </c>
      <c r="B242" s="153" t="str">
        <f>'Показатели'!B236</f>
        <v/>
      </c>
      <c r="C242" s="160"/>
    </row>
    <row r="243" ht="22.5" customHeight="1">
      <c r="A243" s="23" t="str">
        <f>'Показатели'!A237</f>
        <v/>
      </c>
      <c r="B243" s="153" t="str">
        <f>'Показатели'!B237</f>
        <v/>
      </c>
      <c r="C243" s="160"/>
    </row>
    <row r="244" ht="22.5" customHeight="1">
      <c r="A244" s="23" t="str">
        <f>'Показатели'!A238</f>
        <v/>
      </c>
      <c r="B244" s="153" t="str">
        <f>'Показатели'!B238</f>
        <v/>
      </c>
      <c r="C244" s="160"/>
    </row>
    <row r="245" ht="22.5" customHeight="1">
      <c r="A245" s="23" t="str">
        <f>'Показатели'!A239</f>
        <v/>
      </c>
      <c r="B245" s="153" t="str">
        <f>'Показатели'!B239</f>
        <v/>
      </c>
      <c r="C245" s="160"/>
    </row>
    <row r="246" ht="22.5" customHeight="1">
      <c r="A246" s="23" t="str">
        <f>'Показатели'!A240</f>
        <v/>
      </c>
      <c r="B246" s="153" t="str">
        <f>'Показатели'!B240</f>
        <v/>
      </c>
      <c r="C246" s="160"/>
    </row>
    <row r="247" ht="22.5" customHeight="1">
      <c r="A247" s="23" t="str">
        <f>'Показатели'!A241</f>
        <v/>
      </c>
      <c r="B247" s="153" t="str">
        <f>'Показатели'!B241</f>
        <v/>
      </c>
      <c r="C247" s="160"/>
    </row>
    <row r="248" ht="22.5" customHeight="1">
      <c r="A248" s="23" t="str">
        <f>'Показатели'!A242</f>
        <v/>
      </c>
      <c r="B248" s="153" t="str">
        <f>'Показатели'!B242</f>
        <v/>
      </c>
      <c r="C248" s="160"/>
    </row>
    <row r="249" ht="22.5" customHeight="1">
      <c r="A249" s="23" t="str">
        <f>'Показатели'!A243</f>
        <v/>
      </c>
      <c r="B249" s="153" t="str">
        <f>'Показатели'!B243</f>
        <v/>
      </c>
      <c r="C249" s="160"/>
    </row>
    <row r="250" ht="22.5" customHeight="1">
      <c r="A250" s="23" t="str">
        <f>'Показатели'!A244</f>
        <v/>
      </c>
      <c r="B250" s="153" t="str">
        <f>'Показатели'!B244</f>
        <v/>
      </c>
      <c r="C250" s="160"/>
    </row>
    <row r="251" ht="22.5" customHeight="1">
      <c r="A251" s="23" t="str">
        <f>'Показатели'!A245</f>
        <v/>
      </c>
      <c r="B251" s="153" t="str">
        <f>'Показатели'!B245</f>
        <v/>
      </c>
      <c r="C251" s="160"/>
    </row>
    <row r="252" ht="22.5" customHeight="1">
      <c r="A252" s="23" t="str">
        <f>'Показатели'!A246</f>
        <v/>
      </c>
      <c r="B252" s="153" t="str">
        <f>'Показатели'!B246</f>
        <v/>
      </c>
      <c r="C252" s="160"/>
    </row>
    <row r="253" ht="22.5" customHeight="1">
      <c r="A253" s="40"/>
      <c r="B253" s="172"/>
      <c r="C253" s="160"/>
    </row>
    <row r="254" ht="22.5" customHeight="1">
      <c r="A254" s="40"/>
      <c r="B254" s="172"/>
      <c r="C254" s="160"/>
    </row>
    <row r="255" ht="22.5" customHeight="1">
      <c r="A255" s="40"/>
      <c r="B255" s="172"/>
      <c r="C255" s="160"/>
    </row>
    <row r="256" ht="22.5" customHeight="1">
      <c r="A256" s="40"/>
      <c r="B256" s="172"/>
      <c r="C256" s="160"/>
    </row>
    <row r="257" ht="22.5" customHeight="1">
      <c r="A257" s="40"/>
      <c r="B257" s="172"/>
      <c r="C257" s="160"/>
    </row>
    <row r="258" ht="22.5" customHeight="1">
      <c r="A258" s="40"/>
      <c r="B258" s="172"/>
      <c r="C258" s="160"/>
    </row>
    <row r="259" ht="22.5" customHeight="1">
      <c r="A259" s="40"/>
      <c r="B259" s="172"/>
      <c r="C259" s="160"/>
    </row>
    <row r="260" ht="22.5" customHeight="1">
      <c r="A260" s="40"/>
      <c r="B260" s="172"/>
      <c r="C260" s="160"/>
    </row>
    <row r="261" ht="22.5" customHeight="1">
      <c r="A261" s="40"/>
      <c r="B261" s="172"/>
      <c r="C261" s="160"/>
    </row>
    <row r="262" ht="22.5" customHeight="1">
      <c r="A262" s="40"/>
      <c r="B262" s="172"/>
      <c r="C262" s="160"/>
    </row>
    <row r="263" ht="22.5" customHeight="1">
      <c r="A263" s="40"/>
      <c r="B263" s="172"/>
      <c r="C263" s="160"/>
    </row>
    <row r="264" ht="22.5" customHeight="1">
      <c r="A264" s="40"/>
      <c r="B264" s="172"/>
      <c r="C264" s="160"/>
    </row>
    <row r="265" ht="22.5" customHeight="1">
      <c r="A265" s="40"/>
      <c r="B265" s="172"/>
      <c r="C265" s="160"/>
    </row>
    <row r="266" ht="22.5" customHeight="1">
      <c r="A266" s="40"/>
      <c r="B266" s="172"/>
      <c r="C266" s="160"/>
    </row>
    <row r="267" ht="22.5" customHeight="1">
      <c r="A267" s="40"/>
      <c r="B267" s="172"/>
      <c r="C267" s="160"/>
    </row>
    <row r="268" ht="22.5" customHeight="1">
      <c r="A268" s="40"/>
      <c r="B268" s="172"/>
      <c r="C268" s="160"/>
    </row>
    <row r="269" ht="22.5" customHeight="1">
      <c r="A269" s="40"/>
      <c r="B269" s="172"/>
      <c r="C269" s="160"/>
    </row>
    <row r="270" ht="22.5" customHeight="1">
      <c r="A270" s="40"/>
      <c r="B270" s="172"/>
      <c r="C270" s="160"/>
    </row>
    <row r="271" ht="22.5" customHeight="1">
      <c r="A271" s="40"/>
      <c r="B271" s="172"/>
      <c r="C271" s="160"/>
    </row>
    <row r="272" ht="22.5" customHeight="1">
      <c r="A272" s="40"/>
      <c r="B272" s="172"/>
      <c r="C272" s="160"/>
    </row>
    <row r="273" ht="22.5" customHeight="1">
      <c r="A273" s="40"/>
      <c r="B273" s="172"/>
      <c r="C273" s="160"/>
    </row>
    <row r="274" ht="22.5" customHeight="1">
      <c r="A274" s="40"/>
      <c r="B274" s="172"/>
      <c r="C274" s="160"/>
    </row>
    <row r="275" ht="22.5" customHeight="1">
      <c r="A275" s="40"/>
      <c r="B275" s="172"/>
      <c r="C275" s="160"/>
    </row>
    <row r="276" ht="22.5" customHeight="1">
      <c r="A276" s="40"/>
      <c r="B276" s="172"/>
      <c r="C276" s="160"/>
    </row>
    <row r="277" ht="22.5" customHeight="1">
      <c r="A277" s="40"/>
      <c r="B277" s="172"/>
      <c r="C277" s="160"/>
    </row>
    <row r="278" ht="22.5" customHeight="1">
      <c r="A278" s="40"/>
      <c r="B278" s="172"/>
      <c r="C278" s="160"/>
    </row>
    <row r="279" ht="22.5" customHeight="1">
      <c r="A279" s="40"/>
      <c r="B279" s="172"/>
      <c r="C279" s="160"/>
    </row>
    <row r="280" ht="22.5" customHeight="1">
      <c r="A280" s="40"/>
      <c r="B280" s="172"/>
      <c r="C280" s="160"/>
    </row>
    <row r="281" ht="22.5" customHeight="1">
      <c r="A281" s="40"/>
      <c r="B281" s="172"/>
      <c r="C281" s="160"/>
    </row>
    <row r="282" ht="22.5" customHeight="1">
      <c r="A282" s="40"/>
      <c r="B282" s="172"/>
      <c r="C282" s="160"/>
    </row>
    <row r="283" ht="22.5" customHeight="1">
      <c r="A283" s="40"/>
      <c r="B283" s="172"/>
      <c r="C283" s="160"/>
    </row>
    <row r="284" ht="22.5" customHeight="1">
      <c r="A284" s="40"/>
      <c r="B284" s="172"/>
      <c r="C284" s="160"/>
    </row>
    <row r="285" ht="22.5" customHeight="1">
      <c r="A285" s="40"/>
      <c r="B285" s="172"/>
      <c r="C285" s="160"/>
    </row>
    <row r="286" ht="22.5" customHeight="1">
      <c r="A286" s="40"/>
      <c r="B286" s="172"/>
      <c r="C286" s="160"/>
    </row>
    <row r="287" ht="22.5" customHeight="1">
      <c r="A287" s="40"/>
      <c r="B287" s="172"/>
      <c r="C287" s="160"/>
    </row>
    <row r="288" ht="22.5" customHeight="1">
      <c r="A288" s="40"/>
      <c r="B288" s="172"/>
      <c r="C288" s="160"/>
    </row>
    <row r="289" ht="22.5" customHeight="1">
      <c r="A289" s="40"/>
      <c r="B289" s="172"/>
      <c r="C289" s="160"/>
    </row>
    <row r="290" ht="22.5" customHeight="1">
      <c r="A290" s="40"/>
      <c r="B290" s="172"/>
      <c r="C290" s="160"/>
    </row>
    <row r="291" ht="22.5" customHeight="1">
      <c r="A291" s="40"/>
      <c r="B291" s="172"/>
      <c r="C291" s="160"/>
    </row>
    <row r="292" ht="22.5" customHeight="1">
      <c r="A292" s="40"/>
      <c r="B292" s="172"/>
      <c r="C292" s="160"/>
    </row>
    <row r="293" ht="22.5" customHeight="1">
      <c r="A293" s="40"/>
      <c r="B293" s="172"/>
      <c r="C293" s="160"/>
    </row>
    <row r="294" ht="22.5" customHeight="1">
      <c r="A294" s="40"/>
      <c r="B294" s="172"/>
      <c r="C294" s="160"/>
    </row>
    <row r="295" ht="22.5" customHeight="1">
      <c r="A295" s="40"/>
      <c r="B295" s="172"/>
      <c r="C295" s="160"/>
    </row>
    <row r="296" ht="22.5" customHeight="1">
      <c r="A296" s="40"/>
      <c r="B296" s="172"/>
      <c r="C296" s="160"/>
    </row>
    <row r="297" ht="22.5" customHeight="1">
      <c r="A297" s="40"/>
      <c r="B297" s="172"/>
      <c r="C297" s="160"/>
    </row>
    <row r="298" ht="22.5" customHeight="1">
      <c r="A298" s="40"/>
      <c r="B298" s="172"/>
      <c r="C298" s="160"/>
    </row>
    <row r="299" ht="22.5" customHeight="1">
      <c r="A299" s="40"/>
      <c r="B299" s="172"/>
      <c r="C299" s="160"/>
    </row>
    <row r="300" ht="22.5" customHeight="1">
      <c r="A300" s="40"/>
      <c r="B300" s="172"/>
      <c r="C300" s="160"/>
    </row>
    <row r="301" ht="22.5" customHeight="1">
      <c r="A301" s="40"/>
      <c r="B301" s="172"/>
      <c r="C301" s="160"/>
    </row>
    <row r="302" ht="22.5" customHeight="1">
      <c r="A302" s="40"/>
      <c r="B302" s="172"/>
      <c r="C302" s="160"/>
    </row>
    <row r="303" ht="22.5" customHeight="1">
      <c r="A303" s="40"/>
      <c r="B303" s="172"/>
      <c r="C303" s="160"/>
    </row>
    <row r="304" ht="22.5" customHeight="1">
      <c r="A304" s="40"/>
      <c r="B304" s="172"/>
      <c r="C304" s="160"/>
    </row>
    <row r="305" ht="22.5" customHeight="1">
      <c r="A305" s="40"/>
      <c r="B305" s="172"/>
      <c r="C305" s="160"/>
    </row>
    <row r="306" ht="22.5" customHeight="1">
      <c r="A306" s="40"/>
      <c r="B306" s="172"/>
      <c r="C306" s="160"/>
    </row>
    <row r="307" ht="22.5" customHeight="1">
      <c r="A307" s="40"/>
      <c r="B307" s="172"/>
      <c r="C307" s="160"/>
    </row>
    <row r="308" ht="22.5" customHeight="1">
      <c r="A308" s="40"/>
      <c r="B308" s="172"/>
      <c r="C308" s="160"/>
    </row>
    <row r="309" ht="22.5" customHeight="1">
      <c r="A309" s="40"/>
      <c r="B309" s="172"/>
      <c r="C309" s="160"/>
    </row>
    <row r="310" ht="22.5" customHeight="1">
      <c r="A310" s="40"/>
      <c r="B310" s="172"/>
      <c r="C310" s="160"/>
    </row>
    <row r="311" ht="22.5" customHeight="1">
      <c r="A311" s="40"/>
      <c r="B311" s="172"/>
      <c r="C311" s="160"/>
    </row>
    <row r="312" ht="22.5" customHeight="1">
      <c r="A312" s="40"/>
      <c r="B312" s="172"/>
      <c r="C312" s="160"/>
    </row>
    <row r="313" ht="22.5" customHeight="1">
      <c r="A313" s="40"/>
      <c r="B313" s="172"/>
      <c r="C313" s="160"/>
    </row>
    <row r="314" ht="22.5" customHeight="1">
      <c r="A314" s="40"/>
      <c r="B314" s="172"/>
      <c r="C314" s="160"/>
    </row>
    <row r="315" ht="22.5" customHeight="1">
      <c r="A315" s="40"/>
      <c r="B315" s="172"/>
      <c r="C315" s="160"/>
    </row>
    <row r="316" ht="22.5" customHeight="1">
      <c r="A316" s="40"/>
      <c r="B316" s="172"/>
      <c r="C316" s="160"/>
    </row>
    <row r="317" ht="22.5" customHeight="1">
      <c r="A317" s="40"/>
      <c r="B317" s="172"/>
      <c r="C317" s="160"/>
    </row>
    <row r="318" ht="22.5" customHeight="1">
      <c r="A318" s="40"/>
      <c r="B318" s="172"/>
      <c r="C318" s="160"/>
    </row>
    <row r="319" ht="22.5" customHeight="1">
      <c r="A319" s="40"/>
      <c r="B319" s="172"/>
      <c r="C319" s="160"/>
    </row>
    <row r="320" ht="22.5" customHeight="1">
      <c r="A320" s="40"/>
      <c r="B320" s="172"/>
      <c r="C320" s="160"/>
    </row>
    <row r="321" ht="22.5" customHeight="1">
      <c r="A321" s="40"/>
      <c r="B321" s="172"/>
      <c r="C321" s="160"/>
    </row>
    <row r="322" ht="22.5" customHeight="1">
      <c r="A322" s="40"/>
      <c r="B322" s="172"/>
      <c r="C322" s="160"/>
    </row>
    <row r="323" ht="22.5" customHeight="1">
      <c r="A323" s="40"/>
      <c r="B323" s="172"/>
      <c r="C323" s="160"/>
    </row>
    <row r="324" ht="22.5" customHeight="1">
      <c r="A324" s="40"/>
      <c r="B324" s="172"/>
      <c r="C324" s="160"/>
    </row>
    <row r="325" ht="22.5" customHeight="1">
      <c r="A325" s="40"/>
      <c r="B325" s="172"/>
      <c r="C325" s="160"/>
    </row>
    <row r="326" ht="22.5" customHeight="1">
      <c r="A326" s="40"/>
      <c r="B326" s="172"/>
      <c r="C326" s="160"/>
    </row>
    <row r="327" ht="22.5" customHeight="1">
      <c r="A327" s="40"/>
      <c r="B327" s="172"/>
      <c r="C327" s="160"/>
    </row>
    <row r="328" ht="22.5" customHeight="1">
      <c r="A328" s="40"/>
      <c r="B328" s="172"/>
      <c r="C328" s="160"/>
    </row>
    <row r="329" ht="22.5" customHeight="1">
      <c r="A329" s="40"/>
      <c r="B329" s="172"/>
      <c r="C329" s="160"/>
    </row>
    <row r="330" ht="22.5" customHeight="1">
      <c r="A330" s="40"/>
      <c r="B330" s="172"/>
      <c r="C330" s="160"/>
    </row>
    <row r="331" ht="22.5" customHeight="1">
      <c r="A331" s="40"/>
      <c r="B331" s="172"/>
      <c r="C331" s="160"/>
    </row>
    <row r="332" ht="22.5" customHeight="1">
      <c r="A332" s="40"/>
      <c r="B332" s="172"/>
      <c r="C332" s="160"/>
    </row>
    <row r="333" ht="22.5" customHeight="1">
      <c r="A333" s="40"/>
      <c r="B333" s="172"/>
      <c r="C333" s="160"/>
    </row>
    <row r="334" ht="22.5" customHeight="1">
      <c r="A334" s="40"/>
      <c r="B334" s="172"/>
      <c r="C334" s="160"/>
    </row>
    <row r="335" ht="22.5" customHeight="1">
      <c r="A335" s="40"/>
      <c r="B335" s="172"/>
      <c r="C335" s="160"/>
    </row>
    <row r="336" ht="22.5" customHeight="1">
      <c r="A336" s="40"/>
      <c r="B336" s="172"/>
      <c r="C336" s="160"/>
    </row>
    <row r="337" ht="22.5" customHeight="1">
      <c r="A337" s="40"/>
      <c r="B337" s="172"/>
      <c r="C337" s="160"/>
    </row>
    <row r="338" ht="22.5" customHeight="1">
      <c r="A338" s="40"/>
      <c r="B338" s="172"/>
      <c r="C338" s="160"/>
    </row>
    <row r="339" ht="22.5" customHeight="1">
      <c r="A339" s="40"/>
      <c r="B339" s="172"/>
      <c r="C339" s="160"/>
    </row>
    <row r="340" ht="22.5" customHeight="1">
      <c r="A340" s="40"/>
      <c r="B340" s="172"/>
      <c r="C340" s="160"/>
    </row>
    <row r="341" ht="22.5" customHeight="1">
      <c r="A341" s="40"/>
      <c r="B341" s="172"/>
      <c r="C341" s="160"/>
    </row>
    <row r="342" ht="22.5" customHeight="1">
      <c r="A342" s="40"/>
      <c r="B342" s="172"/>
      <c r="C342" s="160"/>
    </row>
    <row r="343" ht="22.5" customHeight="1">
      <c r="A343" s="40"/>
      <c r="B343" s="172"/>
      <c r="C343" s="160"/>
    </row>
    <row r="344" ht="22.5" customHeight="1">
      <c r="A344" s="40"/>
      <c r="B344" s="172"/>
      <c r="C344" s="160"/>
    </row>
    <row r="345" ht="22.5" customHeight="1">
      <c r="A345" s="40"/>
      <c r="B345" s="172"/>
      <c r="C345" s="160"/>
    </row>
    <row r="346" ht="22.5" customHeight="1">
      <c r="A346" s="40"/>
      <c r="B346" s="172"/>
      <c r="C346" s="160"/>
    </row>
    <row r="347" ht="22.5" customHeight="1">
      <c r="A347" s="40"/>
      <c r="B347" s="172"/>
      <c r="C347" s="160"/>
    </row>
    <row r="348" ht="22.5" customHeight="1">
      <c r="A348" s="40"/>
      <c r="B348" s="172"/>
      <c r="C348" s="160"/>
    </row>
    <row r="349" ht="22.5" customHeight="1">
      <c r="A349" s="40"/>
      <c r="B349" s="172"/>
      <c r="C349" s="160"/>
    </row>
    <row r="350" ht="22.5" customHeight="1">
      <c r="A350" s="40"/>
      <c r="B350" s="172"/>
      <c r="C350" s="160"/>
    </row>
    <row r="351" ht="22.5" customHeight="1">
      <c r="A351" s="40"/>
      <c r="B351" s="172"/>
      <c r="C351" s="160"/>
    </row>
    <row r="352" ht="22.5" customHeight="1">
      <c r="A352" s="40"/>
      <c r="B352" s="172"/>
      <c r="C352" s="160"/>
    </row>
    <row r="353" ht="22.5" customHeight="1">
      <c r="A353" s="40"/>
      <c r="B353" s="172"/>
      <c r="C353" s="160"/>
    </row>
    <row r="354" ht="22.5" customHeight="1">
      <c r="A354" s="40"/>
      <c r="B354" s="172"/>
      <c r="C354" s="160"/>
    </row>
    <row r="355" ht="22.5" customHeight="1">
      <c r="A355" s="40"/>
      <c r="B355" s="172"/>
      <c r="C355" s="160"/>
    </row>
    <row r="356" ht="22.5" customHeight="1">
      <c r="A356" s="40"/>
      <c r="B356" s="172"/>
      <c r="C356" s="160"/>
    </row>
    <row r="357" ht="22.5" customHeight="1">
      <c r="A357" s="40"/>
      <c r="B357" s="172"/>
      <c r="C357" s="160"/>
    </row>
    <row r="358" ht="22.5" customHeight="1">
      <c r="A358" s="40"/>
      <c r="B358" s="172"/>
      <c r="C358" s="160"/>
    </row>
    <row r="359" ht="22.5" customHeight="1">
      <c r="A359" s="40"/>
      <c r="B359" s="172"/>
      <c r="C359" s="160"/>
    </row>
    <row r="360" ht="22.5" customHeight="1">
      <c r="A360" s="40"/>
      <c r="B360" s="172"/>
      <c r="C360" s="160"/>
    </row>
    <row r="361" ht="22.5" customHeight="1">
      <c r="A361" s="40"/>
      <c r="B361" s="172"/>
      <c r="C361" s="160"/>
    </row>
    <row r="362" ht="22.5" customHeight="1">
      <c r="A362" s="40"/>
      <c r="B362" s="172"/>
      <c r="C362" s="160"/>
    </row>
    <row r="363" ht="22.5" customHeight="1">
      <c r="A363" s="40"/>
      <c r="B363" s="172"/>
      <c r="C363" s="160"/>
    </row>
    <row r="364" ht="22.5" customHeight="1">
      <c r="A364" s="40"/>
      <c r="B364" s="172"/>
      <c r="C364" s="160"/>
    </row>
    <row r="365" ht="22.5" customHeight="1">
      <c r="A365" s="40"/>
      <c r="B365" s="172"/>
      <c r="C365" s="160"/>
    </row>
    <row r="366" ht="22.5" customHeight="1">
      <c r="A366" s="40"/>
      <c r="B366" s="172"/>
      <c r="C366" s="160"/>
    </row>
    <row r="367" ht="22.5" customHeight="1">
      <c r="A367" s="40"/>
      <c r="B367" s="172"/>
      <c r="C367" s="160"/>
    </row>
    <row r="368" ht="22.5" customHeight="1">
      <c r="A368" s="40"/>
      <c r="B368" s="172"/>
      <c r="C368" s="160"/>
    </row>
    <row r="369" ht="22.5" customHeight="1">
      <c r="A369" s="40"/>
      <c r="B369" s="172"/>
      <c r="C369" s="160"/>
    </row>
    <row r="370" ht="22.5" customHeight="1">
      <c r="A370" s="40"/>
      <c r="B370" s="172"/>
      <c r="C370" s="160"/>
    </row>
    <row r="371" ht="22.5" customHeight="1">
      <c r="A371" s="40"/>
      <c r="B371" s="172"/>
      <c r="C371" s="160"/>
    </row>
    <row r="372" ht="22.5" customHeight="1">
      <c r="A372" s="40"/>
      <c r="B372" s="172"/>
      <c r="C372" s="160"/>
    </row>
    <row r="373" ht="22.5" customHeight="1">
      <c r="A373" s="40"/>
      <c r="B373" s="172"/>
      <c r="C373" s="160"/>
    </row>
    <row r="374" ht="22.5" customHeight="1">
      <c r="A374" s="40"/>
      <c r="B374" s="172"/>
      <c r="C374" s="160"/>
    </row>
    <row r="375" ht="22.5" customHeight="1">
      <c r="A375" s="40"/>
      <c r="B375" s="172"/>
      <c r="C375" s="160"/>
    </row>
    <row r="376" ht="22.5" customHeight="1">
      <c r="A376" s="40"/>
      <c r="B376" s="172"/>
      <c r="C376" s="160"/>
    </row>
    <row r="377" ht="22.5" customHeight="1">
      <c r="A377" s="40"/>
      <c r="B377" s="172"/>
      <c r="C377" s="160"/>
    </row>
    <row r="378" ht="22.5" customHeight="1">
      <c r="A378" s="40"/>
      <c r="B378" s="172"/>
      <c r="C378" s="160"/>
    </row>
    <row r="379" ht="22.5" customHeight="1">
      <c r="A379" s="40"/>
      <c r="B379" s="172"/>
      <c r="C379" s="160"/>
    </row>
    <row r="380" ht="22.5" customHeight="1">
      <c r="A380" s="40"/>
      <c r="B380" s="172"/>
      <c r="C380" s="160"/>
    </row>
    <row r="381" ht="22.5" customHeight="1">
      <c r="A381" s="40"/>
      <c r="B381" s="172"/>
      <c r="C381" s="160"/>
    </row>
    <row r="382" ht="22.5" customHeight="1">
      <c r="A382" s="40"/>
      <c r="B382" s="172"/>
      <c r="C382" s="160"/>
    </row>
    <row r="383" ht="22.5" customHeight="1">
      <c r="A383" s="40"/>
      <c r="B383" s="172"/>
      <c r="C383" s="160"/>
    </row>
    <row r="384" ht="22.5" customHeight="1">
      <c r="A384" s="40"/>
      <c r="B384" s="172"/>
      <c r="C384" s="160"/>
    </row>
    <row r="385" ht="22.5" customHeight="1">
      <c r="A385" s="40"/>
      <c r="B385" s="172"/>
      <c r="C385" s="160"/>
    </row>
    <row r="386" ht="22.5" customHeight="1">
      <c r="A386" s="40"/>
      <c r="B386" s="172"/>
      <c r="C386" s="160"/>
    </row>
    <row r="387" ht="22.5" customHeight="1">
      <c r="A387" s="40"/>
      <c r="B387" s="172"/>
      <c r="C387" s="160"/>
    </row>
    <row r="388" ht="22.5" customHeight="1">
      <c r="A388" s="40"/>
      <c r="B388" s="172"/>
      <c r="C388" s="160"/>
    </row>
    <row r="389" ht="22.5" customHeight="1">
      <c r="A389" s="40"/>
      <c r="B389" s="172"/>
      <c r="C389" s="160"/>
    </row>
    <row r="390" ht="22.5" customHeight="1">
      <c r="A390" s="40"/>
      <c r="B390" s="172"/>
      <c r="C390" s="160"/>
    </row>
    <row r="391" ht="22.5" customHeight="1">
      <c r="A391" s="40"/>
      <c r="B391" s="172"/>
      <c r="C391" s="160"/>
    </row>
    <row r="392" ht="22.5" customHeight="1">
      <c r="A392" s="40"/>
      <c r="B392" s="172"/>
      <c r="C392" s="160"/>
    </row>
    <row r="393" ht="22.5" customHeight="1">
      <c r="A393" s="40"/>
      <c r="B393" s="172"/>
      <c r="C393" s="160"/>
    </row>
    <row r="394" ht="22.5" customHeight="1">
      <c r="A394" s="40"/>
      <c r="B394" s="172"/>
      <c r="C394" s="160"/>
    </row>
    <row r="395" ht="22.5" customHeight="1">
      <c r="A395" s="40"/>
      <c r="B395" s="172"/>
      <c r="C395" s="160"/>
    </row>
    <row r="396" ht="22.5" customHeight="1">
      <c r="A396" s="40"/>
      <c r="B396" s="172"/>
      <c r="C396" s="160"/>
    </row>
    <row r="397" ht="22.5" customHeight="1">
      <c r="A397" s="40"/>
      <c r="B397" s="172"/>
      <c r="C397" s="160"/>
    </row>
    <row r="398" ht="22.5" customHeight="1">
      <c r="A398" s="40"/>
      <c r="B398" s="172"/>
      <c r="C398" s="160"/>
    </row>
    <row r="399" ht="22.5" customHeight="1">
      <c r="A399" s="40"/>
      <c r="B399" s="172"/>
      <c r="C399" s="160"/>
    </row>
    <row r="400" ht="22.5" customHeight="1">
      <c r="A400" s="40"/>
      <c r="B400" s="172"/>
      <c r="C400" s="160"/>
    </row>
    <row r="401" ht="22.5" customHeight="1">
      <c r="A401" s="40"/>
      <c r="B401" s="172"/>
      <c r="C401" s="160"/>
    </row>
    <row r="402" ht="22.5" customHeight="1">
      <c r="A402" s="40"/>
      <c r="B402" s="172"/>
      <c r="C402" s="160"/>
    </row>
    <row r="403" ht="22.5" customHeight="1">
      <c r="A403" s="40"/>
      <c r="B403" s="172"/>
      <c r="C403" s="160"/>
    </row>
    <row r="404" ht="22.5" customHeight="1">
      <c r="A404" s="40"/>
      <c r="B404" s="172"/>
      <c r="C404" s="160"/>
    </row>
    <row r="405" ht="22.5" customHeight="1">
      <c r="A405" s="40"/>
      <c r="B405" s="172"/>
      <c r="C405" s="160"/>
    </row>
    <row r="406" ht="22.5" customHeight="1">
      <c r="A406" s="40"/>
      <c r="B406" s="172"/>
      <c r="C406" s="160"/>
    </row>
    <row r="407" ht="22.5" customHeight="1">
      <c r="A407" s="40"/>
      <c r="B407" s="172"/>
      <c r="C407" s="160"/>
    </row>
    <row r="408" ht="22.5" customHeight="1">
      <c r="A408" s="40"/>
      <c r="B408" s="172"/>
      <c r="C408" s="160"/>
    </row>
    <row r="409" ht="22.5" customHeight="1">
      <c r="A409" s="40"/>
      <c r="B409" s="172"/>
      <c r="C409" s="160"/>
    </row>
    <row r="410" ht="22.5" customHeight="1">
      <c r="A410" s="40"/>
      <c r="B410" s="172"/>
      <c r="C410" s="160"/>
    </row>
    <row r="411" ht="22.5" customHeight="1">
      <c r="A411" s="40"/>
      <c r="B411" s="172"/>
      <c r="C411" s="160"/>
    </row>
    <row r="412" ht="22.5" customHeight="1">
      <c r="A412" s="40"/>
      <c r="B412" s="172"/>
      <c r="C412" s="160"/>
    </row>
    <row r="413" ht="22.5" customHeight="1">
      <c r="A413" s="40"/>
      <c r="B413" s="172"/>
      <c r="C413" s="160"/>
    </row>
    <row r="414" ht="22.5" customHeight="1">
      <c r="A414" s="40"/>
      <c r="B414" s="172"/>
      <c r="C414" s="160"/>
    </row>
    <row r="415" ht="22.5" customHeight="1">
      <c r="A415" s="40"/>
      <c r="B415" s="172"/>
      <c r="C415" s="160"/>
    </row>
    <row r="416" ht="22.5" customHeight="1">
      <c r="A416" s="40"/>
      <c r="B416" s="172"/>
      <c r="C416" s="160"/>
    </row>
    <row r="417" ht="22.5" customHeight="1">
      <c r="A417" s="40"/>
      <c r="B417" s="172"/>
      <c r="C417" s="160"/>
    </row>
    <row r="418" ht="22.5" customHeight="1">
      <c r="A418" s="40"/>
      <c r="B418" s="172"/>
      <c r="C418" s="160"/>
    </row>
    <row r="419" ht="22.5" customHeight="1">
      <c r="A419" s="40"/>
      <c r="B419" s="172"/>
      <c r="C419" s="160"/>
    </row>
    <row r="420" ht="22.5" customHeight="1">
      <c r="A420" s="40"/>
      <c r="B420" s="172"/>
      <c r="C420" s="160"/>
    </row>
    <row r="421" ht="22.5" customHeight="1">
      <c r="A421" s="40"/>
      <c r="B421" s="172"/>
      <c r="C421" s="160"/>
    </row>
    <row r="422" ht="22.5" customHeight="1">
      <c r="A422" s="40"/>
      <c r="B422" s="172"/>
      <c r="C422" s="160"/>
    </row>
    <row r="423" ht="22.5" customHeight="1">
      <c r="A423" s="40"/>
      <c r="B423" s="172"/>
      <c r="C423" s="160"/>
    </row>
    <row r="424" ht="22.5" customHeight="1">
      <c r="A424" s="40"/>
      <c r="B424" s="172"/>
      <c r="C424" s="160"/>
    </row>
    <row r="425" ht="22.5" customHeight="1">
      <c r="A425" s="40"/>
      <c r="B425" s="172"/>
      <c r="C425" s="160"/>
    </row>
    <row r="426" ht="22.5" customHeight="1">
      <c r="A426" s="40"/>
      <c r="B426" s="172"/>
      <c r="C426" s="160"/>
    </row>
    <row r="427" ht="22.5" customHeight="1">
      <c r="A427" s="40"/>
      <c r="B427" s="172"/>
      <c r="C427" s="160"/>
    </row>
    <row r="428" ht="22.5" customHeight="1">
      <c r="A428" s="40"/>
      <c r="B428" s="172"/>
      <c r="C428" s="160"/>
    </row>
    <row r="429" ht="22.5" customHeight="1">
      <c r="A429" s="40"/>
      <c r="B429" s="172"/>
      <c r="C429" s="160"/>
    </row>
    <row r="430" ht="22.5" customHeight="1">
      <c r="A430" s="40"/>
      <c r="B430" s="172"/>
      <c r="C430" s="160"/>
    </row>
    <row r="431" ht="22.5" customHeight="1">
      <c r="A431" s="40"/>
      <c r="B431" s="172"/>
      <c r="C431" s="160"/>
    </row>
    <row r="432" ht="22.5" customHeight="1">
      <c r="A432" s="40"/>
      <c r="B432" s="172"/>
      <c r="C432" s="160"/>
    </row>
    <row r="433" ht="22.5" customHeight="1">
      <c r="A433" s="40"/>
      <c r="B433" s="172"/>
      <c r="C433" s="160"/>
    </row>
    <row r="434" ht="22.5" customHeight="1">
      <c r="A434" s="40"/>
      <c r="B434" s="172"/>
      <c r="C434" s="160"/>
    </row>
    <row r="435" ht="22.5" customHeight="1">
      <c r="A435" s="40"/>
      <c r="B435" s="172"/>
      <c r="C435" s="160"/>
    </row>
    <row r="436" ht="22.5" customHeight="1">
      <c r="A436" s="40"/>
      <c r="B436" s="172"/>
      <c r="C436" s="160"/>
    </row>
    <row r="437" ht="22.5" customHeight="1">
      <c r="A437" s="40"/>
      <c r="B437" s="172"/>
      <c r="C437" s="160"/>
    </row>
    <row r="438" ht="22.5" customHeight="1">
      <c r="A438" s="40"/>
      <c r="B438" s="172"/>
      <c r="C438" s="160"/>
    </row>
    <row r="439" ht="22.5" customHeight="1">
      <c r="A439" s="40"/>
      <c r="B439" s="172"/>
      <c r="C439" s="160"/>
    </row>
    <row r="440" ht="22.5" customHeight="1">
      <c r="A440" s="40"/>
      <c r="B440" s="172"/>
      <c r="C440" s="160"/>
    </row>
    <row r="441" ht="22.5" customHeight="1">
      <c r="A441" s="40"/>
      <c r="B441" s="172"/>
      <c r="C441" s="160"/>
    </row>
    <row r="442" ht="22.5" customHeight="1">
      <c r="A442" s="40"/>
      <c r="B442" s="172"/>
      <c r="C442" s="160"/>
    </row>
    <row r="443" ht="22.5" customHeight="1">
      <c r="A443" s="40"/>
      <c r="B443" s="172"/>
      <c r="C443" s="160"/>
    </row>
    <row r="444" ht="22.5" customHeight="1">
      <c r="A444" s="40"/>
      <c r="B444" s="172"/>
      <c r="C444" s="160"/>
    </row>
    <row r="445" ht="22.5" customHeight="1">
      <c r="A445" s="40"/>
      <c r="B445" s="172"/>
      <c r="C445" s="160"/>
    </row>
    <row r="446" ht="22.5" customHeight="1">
      <c r="A446" s="40"/>
      <c r="B446" s="172"/>
      <c r="C446" s="160"/>
    </row>
    <row r="447" ht="22.5" customHeight="1">
      <c r="A447" s="40"/>
      <c r="B447" s="172"/>
      <c r="C447" s="160"/>
    </row>
    <row r="448" ht="22.5" customHeight="1">
      <c r="A448" s="40"/>
      <c r="B448" s="172"/>
      <c r="C448" s="160"/>
    </row>
    <row r="449" ht="22.5" customHeight="1">
      <c r="A449" s="40"/>
      <c r="B449" s="172"/>
      <c r="C449" s="160"/>
    </row>
    <row r="450" ht="22.5" customHeight="1">
      <c r="A450" s="40"/>
      <c r="B450" s="172"/>
      <c r="C450" s="160"/>
    </row>
    <row r="451" ht="22.5" customHeight="1">
      <c r="A451" s="40"/>
      <c r="B451" s="172"/>
      <c r="C451" s="160"/>
    </row>
    <row r="452" ht="22.5" customHeight="1">
      <c r="A452" s="40"/>
      <c r="B452" s="172"/>
      <c r="C452" s="160"/>
    </row>
    <row r="453" ht="22.5" customHeight="1">
      <c r="A453" s="40"/>
      <c r="B453" s="172"/>
      <c r="C453" s="160"/>
    </row>
    <row r="454" ht="22.5" customHeight="1">
      <c r="A454" s="40"/>
      <c r="B454" s="172"/>
      <c r="C454" s="160"/>
    </row>
    <row r="455" ht="22.5" customHeight="1">
      <c r="A455" s="40"/>
      <c r="B455" s="172"/>
      <c r="C455" s="160"/>
    </row>
    <row r="456" ht="22.5" customHeight="1">
      <c r="A456" s="40"/>
      <c r="B456" s="172"/>
      <c r="C456" s="160"/>
    </row>
    <row r="457" ht="22.5" customHeight="1">
      <c r="A457" s="40"/>
      <c r="B457" s="172"/>
      <c r="C457" s="160"/>
    </row>
    <row r="458" ht="22.5" customHeight="1">
      <c r="A458" s="40"/>
      <c r="B458" s="172"/>
      <c r="C458" s="160"/>
    </row>
    <row r="459" ht="22.5" customHeight="1">
      <c r="A459" s="40"/>
      <c r="B459" s="172"/>
      <c r="C459" s="160"/>
    </row>
    <row r="460" ht="22.5" customHeight="1">
      <c r="A460" s="40"/>
      <c r="B460" s="172"/>
      <c r="C460" s="160"/>
    </row>
    <row r="461" ht="22.5" customHeight="1">
      <c r="A461" s="40"/>
      <c r="B461" s="172"/>
      <c r="C461" s="160"/>
    </row>
    <row r="462" ht="22.5" customHeight="1">
      <c r="A462" s="40"/>
      <c r="B462" s="172"/>
      <c r="C462" s="160"/>
    </row>
    <row r="463" ht="22.5" customHeight="1">
      <c r="A463" s="40"/>
      <c r="B463" s="172"/>
      <c r="C463" s="160"/>
    </row>
    <row r="464" ht="22.5" customHeight="1">
      <c r="A464" s="40"/>
      <c r="B464" s="172"/>
      <c r="C464" s="160"/>
    </row>
    <row r="465" ht="22.5" customHeight="1">
      <c r="A465" s="40"/>
      <c r="B465" s="172"/>
      <c r="C465" s="160"/>
    </row>
    <row r="466" ht="22.5" customHeight="1">
      <c r="A466" s="40"/>
      <c r="B466" s="172"/>
      <c r="C466" s="160"/>
    </row>
    <row r="467" ht="22.5" customHeight="1">
      <c r="A467" s="40"/>
      <c r="B467" s="172"/>
      <c r="C467" s="160"/>
    </row>
    <row r="468" ht="22.5" customHeight="1">
      <c r="A468" s="40"/>
      <c r="B468" s="172"/>
      <c r="C468" s="160"/>
    </row>
    <row r="469" ht="22.5" customHeight="1">
      <c r="A469" s="40"/>
      <c r="B469" s="172"/>
      <c r="C469" s="160"/>
    </row>
    <row r="470" ht="22.5" customHeight="1">
      <c r="A470" s="40"/>
      <c r="B470" s="172"/>
      <c r="C470" s="160"/>
    </row>
    <row r="471" ht="22.5" customHeight="1">
      <c r="A471" s="40"/>
      <c r="B471" s="172"/>
      <c r="C471" s="160"/>
    </row>
    <row r="472" ht="22.5" customHeight="1">
      <c r="A472" s="40"/>
      <c r="B472" s="172"/>
      <c r="C472" s="160"/>
    </row>
    <row r="473" ht="22.5" customHeight="1">
      <c r="A473" s="40"/>
      <c r="B473" s="172"/>
      <c r="C473" s="160"/>
    </row>
    <row r="474" ht="22.5" customHeight="1">
      <c r="A474" s="40"/>
      <c r="B474" s="172"/>
      <c r="C474" s="160"/>
    </row>
    <row r="475" ht="22.5" customHeight="1">
      <c r="A475" s="40"/>
      <c r="B475" s="172"/>
      <c r="C475" s="160"/>
    </row>
    <row r="476" ht="22.5" customHeight="1">
      <c r="A476" s="40"/>
      <c r="B476" s="172"/>
      <c r="C476" s="160"/>
    </row>
    <row r="477" ht="22.5" customHeight="1">
      <c r="A477" s="40"/>
      <c r="B477" s="172"/>
      <c r="C477" s="160"/>
    </row>
    <row r="478" ht="22.5" customHeight="1">
      <c r="A478" s="40"/>
      <c r="B478" s="172"/>
      <c r="C478" s="160"/>
    </row>
    <row r="479" ht="22.5" customHeight="1">
      <c r="A479" s="40"/>
      <c r="B479" s="172"/>
      <c r="C479" s="160"/>
    </row>
    <row r="480" ht="22.5" customHeight="1">
      <c r="A480" s="40"/>
      <c r="B480" s="172"/>
      <c r="C480" s="160"/>
    </row>
    <row r="481" ht="22.5" customHeight="1">
      <c r="A481" s="40"/>
      <c r="B481" s="172"/>
      <c r="C481" s="160"/>
    </row>
    <row r="482" ht="22.5" customHeight="1">
      <c r="A482" s="40"/>
      <c r="B482" s="172"/>
      <c r="C482" s="160"/>
    </row>
    <row r="483" ht="22.5" customHeight="1">
      <c r="A483" s="40"/>
      <c r="B483" s="172"/>
      <c r="C483" s="160"/>
    </row>
    <row r="484" ht="22.5" customHeight="1">
      <c r="A484" s="40"/>
      <c r="B484" s="172"/>
      <c r="C484" s="160"/>
    </row>
    <row r="485" ht="22.5" customHeight="1">
      <c r="A485" s="40"/>
      <c r="B485" s="172"/>
      <c r="C485" s="160"/>
    </row>
    <row r="486" ht="22.5" customHeight="1">
      <c r="A486" s="40"/>
      <c r="B486" s="172"/>
      <c r="C486" s="160"/>
    </row>
    <row r="487" ht="22.5" customHeight="1">
      <c r="A487" s="40"/>
      <c r="B487" s="172"/>
      <c r="C487" s="160"/>
    </row>
    <row r="488" ht="22.5" customHeight="1">
      <c r="A488" s="40"/>
      <c r="B488" s="172"/>
      <c r="C488" s="160"/>
    </row>
    <row r="489" ht="22.5" customHeight="1">
      <c r="A489" s="40"/>
      <c r="B489" s="172"/>
      <c r="C489" s="160"/>
    </row>
    <row r="490" ht="22.5" customHeight="1">
      <c r="A490" s="40"/>
      <c r="B490" s="172"/>
      <c r="C490" s="160"/>
    </row>
    <row r="491" ht="22.5" customHeight="1">
      <c r="A491" s="40"/>
      <c r="B491" s="172"/>
      <c r="C491" s="160"/>
    </row>
    <row r="492" ht="22.5" customHeight="1">
      <c r="A492" s="40"/>
      <c r="B492" s="172"/>
      <c r="C492" s="160"/>
    </row>
    <row r="493" ht="22.5" customHeight="1">
      <c r="A493" s="40"/>
      <c r="B493" s="172"/>
      <c r="C493" s="160"/>
    </row>
    <row r="494" ht="22.5" customHeight="1">
      <c r="A494" s="40"/>
      <c r="B494" s="172"/>
      <c r="C494" s="160"/>
    </row>
    <row r="495" ht="22.5" customHeight="1">
      <c r="A495" s="40"/>
      <c r="B495" s="172"/>
      <c r="C495" s="160"/>
    </row>
    <row r="496" ht="22.5" customHeight="1">
      <c r="A496" s="40"/>
      <c r="B496" s="172"/>
      <c r="C496" s="160"/>
    </row>
    <row r="497" ht="22.5" customHeight="1">
      <c r="A497" s="40"/>
      <c r="B497" s="172"/>
      <c r="C497" s="160"/>
    </row>
    <row r="498" ht="22.5" customHeight="1">
      <c r="A498" s="40"/>
      <c r="B498" s="172"/>
      <c r="C498" s="160"/>
    </row>
    <row r="499" ht="22.5" customHeight="1">
      <c r="A499" s="40"/>
      <c r="B499" s="172"/>
      <c r="C499" s="160"/>
    </row>
    <row r="500" ht="22.5" customHeight="1">
      <c r="A500" s="40"/>
      <c r="B500" s="172"/>
      <c r="C500" s="160"/>
    </row>
    <row r="501" ht="22.5" customHeight="1">
      <c r="A501" s="40"/>
      <c r="B501" s="172"/>
      <c r="C501" s="160"/>
    </row>
    <row r="502" ht="22.5" customHeight="1">
      <c r="A502" s="40"/>
      <c r="B502" s="172"/>
      <c r="C502" s="160"/>
    </row>
    <row r="503" ht="22.5" customHeight="1">
      <c r="A503" s="40"/>
      <c r="B503" s="172"/>
      <c r="C503" s="160"/>
    </row>
    <row r="504" ht="22.5" customHeight="1">
      <c r="A504" s="40"/>
      <c r="B504" s="172"/>
      <c r="C504" s="160"/>
    </row>
    <row r="505" ht="22.5" customHeight="1">
      <c r="A505" s="40"/>
      <c r="B505" s="172"/>
      <c r="C505" s="160"/>
    </row>
    <row r="506" ht="22.5" customHeight="1">
      <c r="A506" s="40"/>
      <c r="B506" s="172"/>
      <c r="C506" s="160"/>
    </row>
    <row r="507" ht="22.5" customHeight="1">
      <c r="A507" s="40"/>
      <c r="B507" s="172"/>
      <c r="C507" s="160"/>
    </row>
    <row r="508" ht="22.5" customHeight="1">
      <c r="A508" s="40"/>
      <c r="B508" s="172"/>
      <c r="C508" s="160"/>
    </row>
    <row r="509" ht="22.5" customHeight="1">
      <c r="A509" s="40"/>
      <c r="B509" s="172"/>
      <c r="C509" s="160"/>
    </row>
    <row r="510" ht="22.5" customHeight="1">
      <c r="A510" s="40"/>
      <c r="B510" s="172"/>
      <c r="C510" s="160"/>
    </row>
    <row r="511" ht="22.5" customHeight="1">
      <c r="A511" s="40"/>
      <c r="B511" s="172"/>
      <c r="C511" s="160"/>
    </row>
    <row r="512" ht="22.5" customHeight="1">
      <c r="A512" s="40"/>
      <c r="B512" s="172"/>
      <c r="C512" s="160"/>
    </row>
    <row r="513" ht="22.5" customHeight="1">
      <c r="A513" s="40"/>
      <c r="B513" s="172"/>
      <c r="C513" s="160"/>
    </row>
    <row r="514" ht="22.5" customHeight="1">
      <c r="A514" s="40"/>
      <c r="B514" s="172"/>
      <c r="C514" s="160"/>
    </row>
    <row r="515" ht="22.5" customHeight="1">
      <c r="A515" s="40"/>
      <c r="B515" s="172"/>
      <c r="C515" s="160"/>
    </row>
    <row r="516" ht="22.5" customHeight="1">
      <c r="A516" s="40"/>
      <c r="B516" s="172"/>
      <c r="C516" s="160"/>
    </row>
    <row r="517" ht="22.5" customHeight="1">
      <c r="A517" s="40"/>
      <c r="B517" s="172"/>
      <c r="C517" s="160"/>
    </row>
    <row r="518" ht="22.5" customHeight="1">
      <c r="A518" s="40"/>
      <c r="B518" s="172"/>
      <c r="C518" s="160"/>
    </row>
    <row r="519" ht="22.5" customHeight="1">
      <c r="A519" s="40"/>
      <c r="B519" s="172"/>
      <c r="C519" s="160"/>
    </row>
    <row r="520" ht="22.5" customHeight="1">
      <c r="A520" s="40"/>
      <c r="B520" s="172"/>
      <c r="C520" s="160"/>
    </row>
    <row r="521" ht="22.5" customHeight="1">
      <c r="A521" s="40"/>
      <c r="B521" s="172"/>
      <c r="C521" s="160"/>
    </row>
    <row r="522" ht="22.5" customHeight="1">
      <c r="A522" s="40"/>
      <c r="B522" s="172"/>
      <c r="C522" s="160"/>
    </row>
    <row r="523" ht="22.5" customHeight="1">
      <c r="A523" s="40"/>
      <c r="B523" s="172"/>
      <c r="C523" s="160"/>
    </row>
    <row r="524" ht="22.5" customHeight="1">
      <c r="A524" s="40"/>
      <c r="B524" s="172"/>
      <c r="C524" s="160"/>
    </row>
    <row r="525" ht="22.5" customHeight="1">
      <c r="A525" s="40"/>
      <c r="B525" s="172"/>
      <c r="C525" s="160"/>
    </row>
    <row r="526" ht="22.5" customHeight="1">
      <c r="A526" s="40"/>
      <c r="B526" s="172"/>
      <c r="C526" s="160"/>
    </row>
    <row r="527" ht="22.5" customHeight="1">
      <c r="A527" s="40"/>
      <c r="B527" s="172"/>
      <c r="C527" s="160"/>
    </row>
    <row r="528" ht="22.5" customHeight="1">
      <c r="A528" s="40"/>
      <c r="B528" s="172"/>
      <c r="C528" s="160"/>
    </row>
    <row r="529" ht="22.5" customHeight="1">
      <c r="A529" s="40"/>
      <c r="B529" s="172"/>
      <c r="C529" s="160"/>
    </row>
    <row r="530" ht="22.5" customHeight="1">
      <c r="A530" s="40"/>
      <c r="B530" s="172"/>
      <c r="C530" s="160"/>
    </row>
    <row r="531" ht="22.5" customHeight="1">
      <c r="A531" s="40"/>
      <c r="B531" s="172"/>
      <c r="C531" s="160"/>
    </row>
    <row r="532" ht="22.5" customHeight="1">
      <c r="A532" s="40"/>
      <c r="B532" s="172"/>
      <c r="C532" s="160"/>
    </row>
    <row r="533" ht="22.5" customHeight="1">
      <c r="A533" s="40"/>
      <c r="B533" s="172"/>
      <c r="C533" s="160"/>
    </row>
    <row r="534" ht="22.5" customHeight="1">
      <c r="A534" s="40"/>
      <c r="B534" s="172"/>
      <c r="C534" s="160"/>
    </row>
    <row r="535" ht="22.5" customHeight="1">
      <c r="A535" s="40"/>
      <c r="B535" s="172"/>
      <c r="C535" s="160"/>
    </row>
    <row r="536" ht="22.5" customHeight="1">
      <c r="A536" s="40"/>
      <c r="B536" s="172"/>
      <c r="C536" s="160"/>
    </row>
    <row r="537" ht="22.5" customHeight="1">
      <c r="A537" s="40"/>
      <c r="B537" s="172"/>
      <c r="C537" s="160"/>
    </row>
    <row r="538" ht="22.5" customHeight="1">
      <c r="A538" s="40"/>
      <c r="B538" s="172"/>
      <c r="C538" s="160"/>
    </row>
    <row r="539" ht="22.5" customHeight="1">
      <c r="A539" s="40"/>
      <c r="B539" s="172"/>
      <c r="C539" s="160"/>
    </row>
    <row r="540" ht="22.5" customHeight="1">
      <c r="A540" s="40"/>
      <c r="B540" s="172"/>
      <c r="C540" s="160"/>
    </row>
    <row r="541" ht="22.5" customHeight="1">
      <c r="A541" s="40"/>
      <c r="B541" s="172"/>
      <c r="C541" s="160"/>
    </row>
    <row r="542" ht="22.5" customHeight="1">
      <c r="A542" s="40"/>
      <c r="B542" s="172"/>
      <c r="C542" s="160"/>
    </row>
    <row r="543" ht="22.5" customHeight="1">
      <c r="A543" s="40"/>
      <c r="B543" s="172"/>
      <c r="C543" s="160"/>
    </row>
    <row r="544" ht="22.5" customHeight="1">
      <c r="A544" s="40"/>
      <c r="B544" s="172"/>
      <c r="C544" s="160"/>
    </row>
    <row r="545" ht="22.5" customHeight="1">
      <c r="A545" s="40"/>
      <c r="B545" s="172"/>
      <c r="C545" s="160"/>
    </row>
    <row r="546" ht="22.5" customHeight="1">
      <c r="A546" s="40"/>
      <c r="B546" s="172"/>
      <c r="C546" s="160"/>
    </row>
    <row r="547" ht="22.5" customHeight="1">
      <c r="A547" s="40"/>
      <c r="B547" s="172"/>
      <c r="C547" s="160"/>
    </row>
    <row r="548" ht="22.5" customHeight="1">
      <c r="A548" s="40"/>
      <c r="B548" s="172"/>
      <c r="C548" s="160"/>
    </row>
    <row r="549" ht="22.5" customHeight="1">
      <c r="A549" s="40"/>
      <c r="B549" s="172"/>
      <c r="C549" s="160"/>
    </row>
    <row r="550" ht="22.5" customHeight="1">
      <c r="A550" s="40"/>
      <c r="B550" s="172"/>
      <c r="C550" s="160"/>
    </row>
    <row r="551" ht="22.5" customHeight="1">
      <c r="A551" s="40"/>
      <c r="B551" s="172"/>
      <c r="C551" s="160"/>
    </row>
    <row r="552" ht="22.5" customHeight="1">
      <c r="A552" s="40"/>
      <c r="B552" s="172"/>
      <c r="C552" s="160"/>
    </row>
    <row r="553" ht="22.5" customHeight="1">
      <c r="A553" s="40"/>
      <c r="B553" s="172"/>
      <c r="C553" s="160"/>
    </row>
    <row r="554" ht="22.5" customHeight="1">
      <c r="A554" s="40"/>
      <c r="B554" s="172"/>
      <c r="C554" s="160"/>
    </row>
    <row r="555" ht="22.5" customHeight="1">
      <c r="A555" s="40"/>
      <c r="B555" s="172"/>
      <c r="C555" s="160"/>
    </row>
    <row r="556" ht="22.5" customHeight="1">
      <c r="A556" s="40"/>
      <c r="B556" s="172"/>
      <c r="C556" s="160"/>
    </row>
    <row r="557" ht="22.5" customHeight="1">
      <c r="A557" s="40"/>
      <c r="B557" s="172"/>
      <c r="C557" s="160"/>
    </row>
    <row r="558" ht="22.5" customHeight="1">
      <c r="A558" s="40"/>
      <c r="B558" s="172"/>
      <c r="C558" s="160"/>
    </row>
    <row r="559" ht="22.5" customHeight="1">
      <c r="A559" s="40"/>
      <c r="B559" s="172"/>
      <c r="C559" s="160"/>
    </row>
    <row r="560" ht="22.5" customHeight="1">
      <c r="A560" s="40"/>
      <c r="B560" s="172"/>
      <c r="C560" s="160"/>
    </row>
    <row r="561" ht="22.5" customHeight="1">
      <c r="A561" s="40"/>
      <c r="B561" s="172"/>
      <c r="C561" s="160"/>
    </row>
    <row r="562" ht="22.5" customHeight="1">
      <c r="A562" s="40"/>
      <c r="B562" s="172"/>
      <c r="C562" s="160"/>
    </row>
    <row r="563" ht="22.5" customHeight="1">
      <c r="A563" s="40"/>
      <c r="B563" s="172"/>
      <c r="C563" s="160"/>
    </row>
    <row r="564" ht="22.5" customHeight="1">
      <c r="A564" s="40"/>
      <c r="B564" s="172"/>
      <c r="C564" s="160"/>
    </row>
    <row r="565" ht="22.5" customHeight="1">
      <c r="A565" s="40"/>
      <c r="B565" s="172"/>
      <c r="C565" s="160"/>
    </row>
    <row r="566" ht="22.5" customHeight="1">
      <c r="A566" s="40"/>
      <c r="B566" s="172"/>
      <c r="C566" s="160"/>
    </row>
    <row r="567" ht="22.5" customHeight="1">
      <c r="A567" s="40"/>
      <c r="B567" s="172"/>
      <c r="C567" s="160"/>
    </row>
    <row r="568" ht="22.5" customHeight="1">
      <c r="A568" s="40"/>
      <c r="B568" s="172"/>
      <c r="C568" s="160"/>
    </row>
    <row r="569" ht="22.5" customHeight="1">
      <c r="A569" s="40"/>
      <c r="B569" s="172"/>
      <c r="C569" s="160"/>
    </row>
    <row r="570" ht="22.5" customHeight="1">
      <c r="A570" s="40"/>
      <c r="B570" s="172"/>
      <c r="C570" s="160"/>
    </row>
    <row r="571" ht="22.5" customHeight="1">
      <c r="A571" s="40"/>
      <c r="B571" s="172"/>
      <c r="C571" s="160"/>
    </row>
    <row r="572" ht="22.5" customHeight="1">
      <c r="A572" s="40"/>
      <c r="B572" s="172"/>
      <c r="C572" s="160"/>
    </row>
    <row r="573" ht="22.5" customHeight="1">
      <c r="A573" s="40"/>
      <c r="B573" s="172"/>
      <c r="C573" s="160"/>
    </row>
    <row r="574" ht="22.5" customHeight="1">
      <c r="A574" s="40"/>
      <c r="B574" s="172"/>
      <c r="C574" s="160"/>
    </row>
    <row r="575" ht="22.5" customHeight="1">
      <c r="A575" s="40"/>
      <c r="B575" s="172"/>
      <c r="C575" s="160"/>
    </row>
    <row r="576" ht="22.5" customHeight="1">
      <c r="A576" s="40"/>
      <c r="B576" s="172"/>
      <c r="C576" s="160"/>
    </row>
    <row r="577" ht="22.5" customHeight="1">
      <c r="A577" s="40"/>
      <c r="B577" s="172"/>
      <c r="C577" s="160"/>
    </row>
    <row r="578" ht="22.5" customHeight="1">
      <c r="A578" s="40"/>
      <c r="B578" s="172"/>
      <c r="C578" s="160"/>
    </row>
    <row r="579" ht="22.5" customHeight="1">
      <c r="A579" s="40"/>
      <c r="B579" s="172"/>
      <c r="C579" s="160"/>
    </row>
    <row r="580" ht="22.5" customHeight="1">
      <c r="A580" s="40"/>
      <c r="B580" s="172"/>
      <c r="C580" s="160"/>
    </row>
    <row r="581" ht="22.5" customHeight="1">
      <c r="A581" s="40"/>
      <c r="B581" s="172"/>
      <c r="C581" s="160"/>
    </row>
    <row r="582" ht="22.5" customHeight="1">
      <c r="A582" s="40"/>
      <c r="B582" s="172"/>
      <c r="C582" s="160"/>
    </row>
    <row r="583" ht="22.5" customHeight="1">
      <c r="A583" s="40"/>
      <c r="B583" s="172"/>
      <c r="C583" s="160"/>
    </row>
    <row r="584" ht="22.5" customHeight="1">
      <c r="A584" s="40"/>
      <c r="B584" s="172"/>
      <c r="C584" s="160"/>
    </row>
    <row r="585" ht="22.5" customHeight="1">
      <c r="A585" s="40"/>
      <c r="B585" s="172"/>
      <c r="C585" s="160"/>
    </row>
    <row r="586" ht="22.5" customHeight="1">
      <c r="A586" s="40"/>
      <c r="B586" s="172"/>
      <c r="C586" s="160"/>
    </row>
    <row r="587" ht="22.5" customHeight="1">
      <c r="A587" s="40"/>
      <c r="B587" s="172"/>
      <c r="C587" s="160"/>
    </row>
    <row r="588" ht="22.5" customHeight="1">
      <c r="A588" s="40"/>
      <c r="B588" s="172"/>
      <c r="C588" s="160"/>
    </row>
    <row r="589" ht="22.5" customHeight="1">
      <c r="A589" s="40"/>
      <c r="B589" s="172"/>
      <c r="C589" s="160"/>
    </row>
    <row r="590" ht="22.5" customHeight="1">
      <c r="A590" s="40"/>
      <c r="B590" s="172"/>
      <c r="C590" s="160"/>
    </row>
    <row r="591" ht="22.5" customHeight="1">
      <c r="A591" s="40"/>
      <c r="B591" s="172"/>
      <c r="C591" s="160"/>
    </row>
    <row r="592" ht="22.5" customHeight="1">
      <c r="A592" s="40"/>
      <c r="B592" s="172"/>
      <c r="C592" s="160"/>
    </row>
    <row r="593" ht="22.5" customHeight="1">
      <c r="A593" s="40"/>
      <c r="B593" s="172"/>
      <c r="C593" s="160"/>
    </row>
    <row r="594" ht="22.5" customHeight="1">
      <c r="A594" s="40"/>
      <c r="B594" s="172"/>
      <c r="C594" s="160"/>
    </row>
    <row r="595" ht="22.5" customHeight="1">
      <c r="A595" s="40"/>
      <c r="B595" s="172"/>
      <c r="C595" s="160"/>
    </row>
    <row r="596" ht="22.5" customHeight="1">
      <c r="A596" s="40"/>
      <c r="B596" s="172"/>
      <c r="C596" s="160"/>
    </row>
    <row r="597" ht="22.5" customHeight="1">
      <c r="A597" s="40"/>
      <c r="B597" s="172"/>
      <c r="C597" s="160"/>
    </row>
    <row r="598" ht="22.5" customHeight="1">
      <c r="A598" s="40"/>
      <c r="B598" s="172"/>
      <c r="C598" s="160"/>
    </row>
    <row r="599" ht="22.5" customHeight="1">
      <c r="A599" s="40"/>
      <c r="B599" s="172"/>
      <c r="C599" s="160"/>
    </row>
    <row r="600" ht="22.5" customHeight="1">
      <c r="A600" s="40"/>
      <c r="B600" s="172"/>
      <c r="C600" s="160"/>
    </row>
    <row r="601" ht="22.5" customHeight="1">
      <c r="A601" s="40"/>
      <c r="B601" s="172"/>
      <c r="C601" s="160"/>
    </row>
    <row r="602" ht="22.5" customHeight="1">
      <c r="A602" s="40"/>
      <c r="B602" s="172"/>
      <c r="C602" s="160"/>
    </row>
    <row r="603" ht="22.5" customHeight="1">
      <c r="A603" s="40"/>
      <c r="B603" s="172"/>
      <c r="C603" s="160"/>
    </row>
    <row r="604" ht="22.5" customHeight="1">
      <c r="A604" s="40"/>
      <c r="B604" s="172"/>
      <c r="C604" s="160"/>
    </row>
    <row r="605" ht="22.5" customHeight="1">
      <c r="A605" s="40"/>
      <c r="B605" s="172"/>
      <c r="C605" s="160"/>
    </row>
    <row r="606" ht="22.5" customHeight="1">
      <c r="A606" s="40"/>
      <c r="B606" s="172"/>
      <c r="C606" s="160"/>
    </row>
    <row r="607" ht="22.5" customHeight="1">
      <c r="A607" s="40"/>
      <c r="B607" s="172"/>
      <c r="C607" s="160"/>
    </row>
    <row r="608" ht="22.5" customHeight="1">
      <c r="A608" s="40"/>
      <c r="B608" s="172"/>
      <c r="C608" s="160"/>
    </row>
    <row r="609" ht="22.5" customHeight="1">
      <c r="A609" s="40"/>
      <c r="B609" s="172"/>
      <c r="C609" s="160"/>
    </row>
    <row r="610" ht="22.5" customHeight="1">
      <c r="A610" s="40"/>
      <c r="B610" s="172"/>
      <c r="C610" s="160"/>
    </row>
    <row r="611" ht="22.5" customHeight="1">
      <c r="A611" s="40"/>
      <c r="B611" s="172"/>
      <c r="C611" s="160"/>
    </row>
    <row r="612" ht="22.5" customHeight="1">
      <c r="A612" s="40"/>
      <c r="B612" s="172"/>
      <c r="C612" s="160"/>
    </row>
    <row r="613" ht="22.5" customHeight="1">
      <c r="A613" s="40"/>
      <c r="B613" s="172"/>
      <c r="C613" s="160"/>
    </row>
    <row r="614" ht="22.5" customHeight="1">
      <c r="A614" s="40"/>
      <c r="B614" s="172"/>
      <c r="C614" s="160"/>
    </row>
    <row r="615" ht="22.5" customHeight="1">
      <c r="A615" s="40"/>
      <c r="B615" s="172"/>
      <c r="C615" s="160"/>
    </row>
    <row r="616" ht="22.5" customHeight="1">
      <c r="A616" s="40"/>
      <c r="B616" s="172"/>
      <c r="C616" s="160"/>
    </row>
    <row r="617" ht="22.5" customHeight="1">
      <c r="A617" s="40"/>
      <c r="B617" s="172"/>
      <c r="C617" s="160"/>
    </row>
    <row r="618" ht="22.5" customHeight="1">
      <c r="A618" s="40"/>
      <c r="B618" s="172"/>
      <c r="C618" s="160"/>
    </row>
    <row r="619" ht="22.5" customHeight="1">
      <c r="A619" s="40"/>
      <c r="B619" s="172"/>
      <c r="C619" s="160"/>
    </row>
    <row r="620" ht="22.5" customHeight="1">
      <c r="A620" s="40"/>
      <c r="B620" s="172"/>
      <c r="C620" s="160"/>
    </row>
    <row r="621" ht="22.5" customHeight="1">
      <c r="A621" s="40"/>
      <c r="B621" s="172"/>
      <c r="C621" s="160"/>
    </row>
    <row r="622" ht="22.5" customHeight="1">
      <c r="A622" s="40"/>
      <c r="B622" s="172"/>
      <c r="C622" s="160"/>
    </row>
    <row r="623" ht="22.5" customHeight="1">
      <c r="A623" s="40"/>
      <c r="B623" s="172"/>
      <c r="C623" s="160"/>
    </row>
    <row r="624" ht="22.5" customHeight="1">
      <c r="A624" s="40"/>
      <c r="B624" s="172"/>
      <c r="C624" s="160"/>
    </row>
    <row r="625" ht="22.5" customHeight="1">
      <c r="A625" s="40"/>
      <c r="B625" s="172"/>
      <c r="C625" s="160"/>
    </row>
    <row r="626" ht="22.5" customHeight="1">
      <c r="A626" s="40"/>
      <c r="B626" s="172"/>
      <c r="C626" s="160"/>
    </row>
    <row r="627" ht="22.5" customHeight="1">
      <c r="A627" s="40"/>
      <c r="B627" s="172"/>
      <c r="C627" s="160"/>
    </row>
    <row r="628" ht="22.5" customHeight="1">
      <c r="A628" s="40"/>
      <c r="B628" s="172"/>
      <c r="C628" s="160"/>
    </row>
    <row r="629" ht="22.5" customHeight="1">
      <c r="A629" s="40"/>
      <c r="B629" s="172"/>
      <c r="C629" s="160"/>
    </row>
    <row r="630" ht="22.5" customHeight="1">
      <c r="A630" s="40"/>
      <c r="B630" s="172"/>
      <c r="C630" s="160"/>
    </row>
    <row r="631" ht="22.5" customHeight="1">
      <c r="A631" s="40"/>
      <c r="B631" s="172"/>
      <c r="C631" s="160"/>
    </row>
    <row r="632" ht="22.5" customHeight="1">
      <c r="A632" s="40"/>
      <c r="B632" s="172"/>
      <c r="C632" s="160"/>
    </row>
    <row r="633" ht="22.5" customHeight="1">
      <c r="A633" s="40"/>
      <c r="B633" s="172"/>
      <c r="C633" s="160"/>
    </row>
    <row r="634" ht="22.5" customHeight="1">
      <c r="A634" s="40"/>
      <c r="B634" s="172"/>
      <c r="C634" s="160"/>
    </row>
    <row r="635" ht="22.5" customHeight="1">
      <c r="A635" s="40"/>
      <c r="B635" s="172"/>
      <c r="C635" s="160"/>
    </row>
    <row r="636" ht="22.5" customHeight="1">
      <c r="A636" s="40"/>
      <c r="B636" s="172"/>
      <c r="C636" s="160"/>
    </row>
    <row r="637" ht="22.5" customHeight="1">
      <c r="A637" s="40"/>
      <c r="B637" s="172"/>
      <c r="C637" s="160"/>
    </row>
    <row r="638" ht="22.5" customHeight="1">
      <c r="A638" s="40"/>
      <c r="B638" s="172"/>
      <c r="C638" s="160"/>
    </row>
    <row r="639" ht="22.5" customHeight="1">
      <c r="A639" s="40"/>
      <c r="B639" s="172"/>
      <c r="C639" s="160"/>
    </row>
    <row r="640" ht="22.5" customHeight="1">
      <c r="A640" s="40"/>
      <c r="B640" s="172"/>
      <c r="C640" s="160"/>
    </row>
    <row r="641" ht="22.5" customHeight="1">
      <c r="A641" s="40"/>
      <c r="B641" s="172"/>
      <c r="C641" s="160"/>
    </row>
    <row r="642" ht="22.5" customHeight="1">
      <c r="A642" s="40"/>
      <c r="B642" s="172"/>
      <c r="C642" s="160"/>
    </row>
    <row r="643" ht="22.5" customHeight="1">
      <c r="A643" s="40"/>
      <c r="B643" s="172"/>
      <c r="C643" s="160"/>
    </row>
    <row r="644" ht="22.5" customHeight="1">
      <c r="A644" s="40"/>
      <c r="B644" s="172"/>
      <c r="C644" s="160"/>
    </row>
    <row r="645" ht="22.5" customHeight="1">
      <c r="A645" s="40"/>
      <c r="B645" s="172"/>
      <c r="C645" s="160"/>
    </row>
    <row r="646" ht="22.5" customHeight="1">
      <c r="A646" s="40"/>
      <c r="B646" s="172"/>
      <c r="C646" s="160"/>
    </row>
    <row r="647" ht="22.5" customHeight="1">
      <c r="A647" s="40"/>
      <c r="B647" s="172"/>
      <c r="C647" s="160"/>
    </row>
    <row r="648" ht="22.5" customHeight="1">
      <c r="A648" s="40"/>
      <c r="B648" s="172"/>
      <c r="C648" s="160"/>
    </row>
    <row r="649" ht="22.5" customHeight="1">
      <c r="A649" s="40"/>
      <c r="B649" s="172"/>
      <c r="C649" s="160"/>
    </row>
    <row r="650" ht="22.5" customHeight="1">
      <c r="A650" s="40"/>
      <c r="B650" s="172"/>
      <c r="C650" s="160"/>
    </row>
    <row r="651" ht="22.5" customHeight="1">
      <c r="A651" s="40"/>
      <c r="B651" s="172"/>
      <c r="C651" s="160"/>
    </row>
    <row r="652" ht="22.5" customHeight="1">
      <c r="A652" s="40"/>
      <c r="B652" s="172"/>
      <c r="C652" s="160"/>
    </row>
    <row r="653" ht="22.5" customHeight="1">
      <c r="A653" s="40"/>
      <c r="B653" s="172"/>
      <c r="C653" s="160"/>
    </row>
    <row r="654" ht="22.5" customHeight="1">
      <c r="A654" s="40"/>
      <c r="B654" s="172"/>
      <c r="C654" s="160"/>
    </row>
    <row r="655" ht="22.5" customHeight="1">
      <c r="A655" s="40"/>
      <c r="B655" s="172"/>
      <c r="C655" s="160"/>
    </row>
    <row r="656" ht="22.5" customHeight="1">
      <c r="A656" s="40"/>
      <c r="B656" s="172"/>
      <c r="C656" s="160"/>
    </row>
    <row r="657" ht="22.5" customHeight="1">
      <c r="A657" s="40"/>
      <c r="B657" s="172"/>
      <c r="C657" s="160"/>
    </row>
    <row r="658" ht="22.5" customHeight="1">
      <c r="A658" s="40"/>
      <c r="B658" s="172"/>
      <c r="C658" s="160"/>
    </row>
    <row r="659" ht="22.5" customHeight="1">
      <c r="A659" s="40"/>
      <c r="B659" s="172"/>
      <c r="C659" s="160"/>
    </row>
    <row r="660" ht="22.5" customHeight="1">
      <c r="A660" s="40"/>
      <c r="B660" s="172"/>
      <c r="C660" s="160"/>
    </row>
    <row r="661" ht="22.5" customHeight="1">
      <c r="A661" s="40"/>
      <c r="B661" s="172"/>
      <c r="C661" s="160"/>
    </row>
    <row r="662" ht="22.5" customHeight="1">
      <c r="A662" s="40"/>
      <c r="B662" s="172"/>
      <c r="C662" s="160"/>
    </row>
    <row r="663" ht="22.5" customHeight="1">
      <c r="A663" s="40"/>
      <c r="B663" s="172"/>
      <c r="C663" s="160"/>
    </row>
    <row r="664" ht="22.5" customHeight="1">
      <c r="A664" s="40"/>
      <c r="B664" s="172"/>
      <c r="C664" s="160"/>
    </row>
    <row r="665" ht="22.5" customHeight="1">
      <c r="A665" s="40"/>
      <c r="B665" s="172"/>
      <c r="C665" s="160"/>
    </row>
    <row r="666" ht="22.5" customHeight="1">
      <c r="A666" s="40"/>
      <c r="B666" s="172"/>
      <c r="C666" s="160"/>
    </row>
    <row r="667" ht="22.5" customHeight="1">
      <c r="A667" s="40"/>
      <c r="B667" s="172"/>
      <c r="C667" s="160"/>
    </row>
    <row r="668" ht="22.5" customHeight="1">
      <c r="A668" s="40"/>
      <c r="B668" s="172"/>
      <c r="C668" s="160"/>
    </row>
    <row r="669" ht="22.5" customHeight="1">
      <c r="A669" s="40"/>
      <c r="B669" s="172"/>
      <c r="C669" s="160"/>
    </row>
    <row r="670" ht="22.5" customHeight="1">
      <c r="A670" s="40"/>
      <c r="B670" s="172"/>
      <c r="C670" s="160"/>
    </row>
    <row r="671" ht="22.5" customHeight="1">
      <c r="A671" s="40"/>
      <c r="B671" s="172"/>
      <c r="C671" s="160"/>
    </row>
    <row r="672" ht="22.5" customHeight="1">
      <c r="A672" s="40"/>
      <c r="B672" s="172"/>
      <c r="C672" s="160"/>
    </row>
    <row r="673" ht="22.5" customHeight="1">
      <c r="A673" s="40"/>
      <c r="B673" s="172"/>
      <c r="C673" s="160"/>
    </row>
    <row r="674" ht="22.5" customHeight="1">
      <c r="A674" s="40"/>
      <c r="B674" s="172"/>
      <c r="C674" s="160"/>
    </row>
    <row r="675" ht="22.5" customHeight="1">
      <c r="A675" s="40"/>
      <c r="B675" s="172"/>
      <c r="C675" s="160"/>
    </row>
    <row r="676" ht="22.5" customHeight="1">
      <c r="A676" s="40"/>
      <c r="B676" s="172"/>
      <c r="C676" s="160"/>
    </row>
    <row r="677" ht="22.5" customHeight="1">
      <c r="A677" s="40"/>
      <c r="B677" s="172"/>
      <c r="C677" s="160"/>
    </row>
    <row r="678" ht="22.5" customHeight="1">
      <c r="A678" s="40"/>
      <c r="B678" s="172"/>
      <c r="C678" s="160"/>
    </row>
    <row r="679" ht="22.5" customHeight="1">
      <c r="A679" s="40"/>
      <c r="B679" s="172"/>
      <c r="C679" s="160"/>
    </row>
    <row r="680" ht="22.5" customHeight="1">
      <c r="A680" s="40"/>
      <c r="B680" s="172"/>
      <c r="C680" s="160"/>
    </row>
    <row r="681" ht="22.5" customHeight="1">
      <c r="A681" s="40"/>
      <c r="B681" s="172"/>
      <c r="C681" s="160"/>
    </row>
    <row r="682" ht="22.5" customHeight="1">
      <c r="A682" s="40"/>
      <c r="B682" s="172"/>
      <c r="C682" s="160"/>
    </row>
    <row r="683" ht="22.5" customHeight="1">
      <c r="A683" s="40"/>
      <c r="B683" s="172"/>
      <c r="C683" s="160"/>
    </row>
    <row r="684" ht="22.5" customHeight="1">
      <c r="A684" s="40"/>
      <c r="B684" s="172"/>
      <c r="C684" s="160"/>
    </row>
    <row r="685" ht="22.5" customHeight="1">
      <c r="A685" s="40"/>
      <c r="B685" s="172"/>
      <c r="C685" s="160"/>
    </row>
    <row r="686" ht="22.5" customHeight="1">
      <c r="A686" s="40"/>
      <c r="B686" s="172"/>
      <c r="C686" s="160"/>
    </row>
    <row r="687" ht="22.5" customHeight="1">
      <c r="A687" s="40"/>
      <c r="B687" s="172"/>
      <c r="C687" s="160"/>
    </row>
    <row r="688" ht="22.5" customHeight="1">
      <c r="A688" s="40"/>
      <c r="B688" s="172"/>
      <c r="C688" s="160"/>
    </row>
    <row r="689" ht="22.5" customHeight="1">
      <c r="A689" s="40"/>
      <c r="B689" s="172"/>
      <c r="C689" s="160"/>
    </row>
    <row r="690" ht="22.5" customHeight="1">
      <c r="A690" s="40"/>
      <c r="B690" s="172"/>
      <c r="C690" s="160"/>
    </row>
    <row r="691" ht="22.5" customHeight="1">
      <c r="A691" s="40"/>
      <c r="B691" s="172"/>
      <c r="C691" s="160"/>
    </row>
    <row r="692" ht="22.5" customHeight="1">
      <c r="A692" s="40"/>
      <c r="B692" s="172"/>
      <c r="C692" s="160"/>
    </row>
    <row r="693" ht="22.5" customHeight="1">
      <c r="A693" s="40"/>
      <c r="B693" s="172"/>
      <c r="C693" s="160"/>
    </row>
    <row r="694" ht="22.5" customHeight="1">
      <c r="A694" s="40"/>
      <c r="B694" s="172"/>
      <c r="C694" s="160"/>
    </row>
    <row r="695" ht="22.5" customHeight="1">
      <c r="A695" s="40"/>
      <c r="B695" s="172"/>
      <c r="C695" s="160"/>
    </row>
    <row r="696" ht="22.5" customHeight="1">
      <c r="A696" s="40"/>
      <c r="B696" s="172"/>
      <c r="C696" s="160"/>
    </row>
    <row r="697" ht="22.5" customHeight="1">
      <c r="A697" s="40"/>
      <c r="B697" s="172"/>
      <c r="C697" s="160"/>
    </row>
    <row r="698" ht="22.5" customHeight="1">
      <c r="A698" s="40"/>
      <c r="B698" s="172"/>
      <c r="C698" s="160"/>
    </row>
    <row r="699" ht="22.5" customHeight="1">
      <c r="A699" s="40"/>
      <c r="B699" s="172"/>
      <c r="C699" s="160"/>
    </row>
    <row r="700" ht="22.5" customHeight="1">
      <c r="A700" s="40"/>
      <c r="B700" s="172"/>
      <c r="C700" s="160"/>
    </row>
    <row r="701" ht="22.5" customHeight="1">
      <c r="A701" s="40"/>
      <c r="B701" s="172"/>
      <c r="C701" s="160"/>
    </row>
    <row r="702" ht="22.5" customHeight="1">
      <c r="A702" s="40"/>
      <c r="B702" s="172"/>
      <c r="C702" s="160"/>
    </row>
    <row r="703" ht="22.5" customHeight="1">
      <c r="A703" s="40"/>
      <c r="B703" s="172"/>
      <c r="C703" s="160"/>
    </row>
    <row r="704" ht="22.5" customHeight="1">
      <c r="A704" s="40"/>
      <c r="B704" s="172"/>
      <c r="C704" s="160"/>
    </row>
    <row r="705" ht="22.5" customHeight="1">
      <c r="A705" s="40"/>
      <c r="B705" s="172"/>
      <c r="C705" s="160"/>
    </row>
    <row r="706" ht="22.5" customHeight="1">
      <c r="A706" s="40"/>
      <c r="B706" s="172"/>
      <c r="C706" s="160"/>
    </row>
    <row r="707" ht="22.5" customHeight="1">
      <c r="A707" s="40"/>
      <c r="B707" s="172"/>
      <c r="C707" s="160"/>
    </row>
    <row r="708" ht="22.5" customHeight="1">
      <c r="A708" s="40"/>
      <c r="B708" s="172"/>
      <c r="C708" s="160"/>
    </row>
    <row r="709" ht="22.5" customHeight="1">
      <c r="A709" s="40"/>
      <c r="B709" s="172"/>
      <c r="C709" s="160"/>
    </row>
    <row r="710" ht="22.5" customHeight="1">
      <c r="A710" s="40"/>
      <c r="B710" s="172"/>
      <c r="C710" s="160"/>
    </row>
    <row r="711" ht="22.5" customHeight="1">
      <c r="A711" s="40"/>
      <c r="B711" s="172"/>
      <c r="C711" s="160"/>
    </row>
    <row r="712" ht="22.5" customHeight="1">
      <c r="A712" s="40"/>
      <c r="B712" s="172"/>
      <c r="C712" s="160"/>
    </row>
    <row r="713" ht="22.5" customHeight="1">
      <c r="A713" s="40"/>
      <c r="B713" s="172"/>
      <c r="C713" s="160"/>
    </row>
    <row r="714" ht="22.5" customHeight="1">
      <c r="A714" s="40"/>
      <c r="B714" s="172"/>
      <c r="C714" s="160"/>
    </row>
    <row r="715" ht="22.5" customHeight="1">
      <c r="A715" s="40"/>
      <c r="B715" s="172"/>
      <c r="C715" s="160"/>
    </row>
    <row r="716" ht="22.5" customHeight="1">
      <c r="A716" s="40"/>
      <c r="B716" s="172"/>
      <c r="C716" s="160"/>
    </row>
    <row r="717" ht="22.5" customHeight="1">
      <c r="A717" s="40"/>
      <c r="B717" s="172"/>
      <c r="C717" s="160"/>
    </row>
    <row r="718" ht="22.5" customHeight="1">
      <c r="A718" s="40"/>
      <c r="B718" s="172"/>
      <c r="C718" s="160"/>
    </row>
    <row r="719" ht="22.5" customHeight="1">
      <c r="A719" s="40"/>
      <c r="B719" s="172"/>
      <c r="C719" s="160"/>
    </row>
    <row r="720" ht="22.5" customHeight="1">
      <c r="A720" s="40"/>
      <c r="B720" s="172"/>
      <c r="C720" s="160"/>
    </row>
    <row r="721" ht="22.5" customHeight="1">
      <c r="A721" s="40"/>
      <c r="B721" s="172"/>
      <c r="C721" s="160"/>
    </row>
    <row r="722" ht="22.5" customHeight="1">
      <c r="A722" s="40"/>
      <c r="B722" s="172"/>
      <c r="C722" s="160"/>
    </row>
    <row r="723" ht="22.5" customHeight="1">
      <c r="A723" s="40"/>
      <c r="B723" s="172"/>
      <c r="C723" s="160"/>
    </row>
    <row r="724" ht="22.5" customHeight="1">
      <c r="A724" s="40"/>
      <c r="B724" s="172"/>
      <c r="C724" s="160"/>
    </row>
    <row r="725" ht="22.5" customHeight="1">
      <c r="A725" s="40"/>
      <c r="B725" s="172"/>
      <c r="C725" s="160"/>
    </row>
    <row r="726" ht="22.5" customHeight="1">
      <c r="A726" s="40"/>
      <c r="B726" s="172"/>
      <c r="C726" s="160"/>
    </row>
    <row r="727" ht="22.5" customHeight="1">
      <c r="A727" s="40"/>
      <c r="B727" s="172"/>
      <c r="C727" s="160"/>
    </row>
    <row r="728" ht="22.5" customHeight="1">
      <c r="A728" s="40"/>
      <c r="B728" s="172"/>
      <c r="C728" s="160"/>
    </row>
    <row r="729" ht="22.5" customHeight="1">
      <c r="A729" s="40"/>
      <c r="B729" s="172"/>
      <c r="C729" s="160"/>
    </row>
    <row r="730" ht="22.5" customHeight="1">
      <c r="A730" s="40"/>
      <c r="B730" s="172"/>
      <c r="C730" s="160"/>
    </row>
    <row r="731" ht="22.5" customHeight="1">
      <c r="A731" s="40"/>
      <c r="B731" s="172"/>
      <c r="C731" s="160"/>
    </row>
    <row r="732" ht="22.5" customHeight="1">
      <c r="A732" s="40"/>
      <c r="B732" s="172"/>
      <c r="C732" s="160"/>
    </row>
    <row r="733" ht="22.5" customHeight="1">
      <c r="A733" s="40"/>
      <c r="B733" s="172"/>
      <c r="C733" s="160"/>
    </row>
    <row r="734" ht="22.5" customHeight="1">
      <c r="A734" s="40"/>
      <c r="B734" s="172"/>
      <c r="C734" s="160"/>
    </row>
    <row r="735" ht="22.5" customHeight="1">
      <c r="A735" s="40"/>
      <c r="B735" s="172"/>
      <c r="C735" s="160"/>
    </row>
    <row r="736" ht="22.5" customHeight="1">
      <c r="A736" s="40"/>
      <c r="B736" s="172"/>
      <c r="C736" s="160"/>
    </row>
    <row r="737" ht="22.5" customHeight="1">
      <c r="A737" s="40"/>
      <c r="B737" s="172"/>
      <c r="C737" s="160"/>
    </row>
    <row r="738" ht="22.5" customHeight="1">
      <c r="A738" s="40"/>
      <c r="B738" s="172"/>
      <c r="C738" s="160"/>
    </row>
    <row r="739" ht="22.5" customHeight="1">
      <c r="A739" s="40"/>
      <c r="B739" s="172"/>
      <c r="C739" s="160"/>
    </row>
    <row r="740" ht="22.5" customHeight="1">
      <c r="A740" s="40"/>
      <c r="B740" s="172"/>
      <c r="C740" s="160"/>
    </row>
    <row r="741" ht="22.5" customHeight="1">
      <c r="A741" s="40"/>
      <c r="B741" s="172"/>
      <c r="C741" s="160"/>
    </row>
    <row r="742" ht="22.5" customHeight="1">
      <c r="A742" s="40"/>
      <c r="B742" s="172"/>
      <c r="C742" s="160"/>
    </row>
    <row r="743" ht="22.5" customHeight="1">
      <c r="A743" s="40"/>
      <c r="B743" s="172"/>
      <c r="C743" s="160"/>
    </row>
    <row r="744" ht="22.5" customHeight="1">
      <c r="A744" s="40"/>
      <c r="B744" s="172"/>
      <c r="C744" s="160"/>
    </row>
    <row r="745" ht="22.5" customHeight="1">
      <c r="A745" s="40"/>
      <c r="B745" s="172"/>
      <c r="C745" s="160"/>
    </row>
    <row r="746" ht="22.5" customHeight="1">
      <c r="A746" s="40"/>
      <c r="B746" s="172"/>
      <c r="C746" s="160"/>
    </row>
    <row r="747" ht="22.5" customHeight="1">
      <c r="A747" s="40"/>
      <c r="B747" s="172"/>
      <c r="C747" s="160"/>
    </row>
    <row r="748" ht="22.5" customHeight="1">
      <c r="A748" s="40"/>
      <c r="B748" s="172"/>
      <c r="C748" s="160"/>
    </row>
    <row r="749" ht="22.5" customHeight="1">
      <c r="A749" s="40"/>
      <c r="B749" s="172"/>
      <c r="C749" s="160"/>
    </row>
    <row r="750" ht="22.5" customHeight="1">
      <c r="A750" s="40"/>
      <c r="B750" s="172"/>
      <c r="C750" s="160"/>
    </row>
    <row r="751" ht="22.5" customHeight="1">
      <c r="A751" s="40"/>
      <c r="B751" s="172"/>
      <c r="C751" s="160"/>
    </row>
    <row r="752" ht="22.5" customHeight="1">
      <c r="A752" s="40"/>
      <c r="B752" s="172"/>
      <c r="C752" s="160"/>
    </row>
    <row r="753" ht="22.5" customHeight="1">
      <c r="A753" s="40"/>
      <c r="B753" s="172"/>
      <c r="C753" s="160"/>
    </row>
    <row r="754" ht="22.5" customHeight="1">
      <c r="A754" s="40"/>
      <c r="B754" s="172"/>
      <c r="C754" s="160"/>
    </row>
    <row r="755" ht="22.5" customHeight="1">
      <c r="A755" s="40"/>
      <c r="B755" s="172"/>
      <c r="C755" s="160"/>
    </row>
    <row r="756" ht="22.5" customHeight="1">
      <c r="A756" s="40"/>
      <c r="B756" s="172"/>
      <c r="C756" s="160"/>
    </row>
    <row r="757" ht="22.5" customHeight="1">
      <c r="A757" s="40"/>
      <c r="B757" s="172"/>
      <c r="C757" s="160"/>
    </row>
    <row r="758" ht="22.5" customHeight="1">
      <c r="A758" s="40"/>
      <c r="B758" s="172"/>
      <c r="C758" s="160"/>
    </row>
    <row r="759" ht="22.5" customHeight="1">
      <c r="A759" s="40"/>
      <c r="B759" s="172"/>
      <c r="C759" s="160"/>
    </row>
    <row r="760" ht="22.5" customHeight="1">
      <c r="A760" s="40"/>
      <c r="B760" s="172"/>
      <c r="C760" s="160"/>
    </row>
    <row r="761" ht="22.5" customHeight="1">
      <c r="A761" s="40"/>
      <c r="B761" s="172"/>
      <c r="C761" s="160"/>
    </row>
    <row r="762" ht="22.5" customHeight="1">
      <c r="A762" s="40"/>
      <c r="B762" s="172"/>
      <c r="C762" s="160"/>
    </row>
    <row r="763" ht="22.5" customHeight="1">
      <c r="A763" s="40"/>
      <c r="B763" s="172"/>
      <c r="C763" s="160"/>
    </row>
    <row r="764" ht="22.5" customHeight="1">
      <c r="A764" s="40"/>
      <c r="B764" s="172"/>
      <c r="C764" s="160"/>
    </row>
    <row r="765" ht="22.5" customHeight="1">
      <c r="A765" s="40"/>
      <c r="B765" s="172"/>
      <c r="C765" s="160"/>
    </row>
    <row r="766" ht="22.5" customHeight="1">
      <c r="A766" s="40"/>
      <c r="B766" s="172"/>
      <c r="C766" s="160"/>
    </row>
    <row r="767" ht="22.5" customHeight="1">
      <c r="A767" s="40"/>
      <c r="B767" s="172"/>
      <c r="C767" s="160"/>
    </row>
    <row r="768" ht="22.5" customHeight="1">
      <c r="A768" s="40"/>
      <c r="B768" s="172"/>
      <c r="C768" s="160"/>
    </row>
    <row r="769" ht="22.5" customHeight="1">
      <c r="A769" s="40"/>
      <c r="B769" s="172"/>
      <c r="C769" s="160"/>
    </row>
    <row r="770" ht="22.5" customHeight="1">
      <c r="A770" s="40"/>
      <c r="B770" s="172"/>
      <c r="C770" s="160"/>
    </row>
    <row r="771" ht="22.5" customHeight="1">
      <c r="A771" s="40"/>
      <c r="B771" s="172"/>
      <c r="C771" s="160"/>
    </row>
    <row r="772" ht="22.5" customHeight="1">
      <c r="A772" s="40"/>
      <c r="B772" s="172"/>
      <c r="C772" s="160"/>
    </row>
    <row r="773" ht="22.5" customHeight="1">
      <c r="A773" s="40"/>
      <c r="B773" s="172"/>
      <c r="C773" s="160"/>
    </row>
    <row r="774" ht="22.5" customHeight="1">
      <c r="A774" s="40"/>
      <c r="B774" s="172"/>
      <c r="C774" s="160"/>
    </row>
    <row r="775" ht="22.5" customHeight="1">
      <c r="A775" s="40"/>
      <c r="B775" s="172"/>
      <c r="C775" s="160"/>
    </row>
    <row r="776" ht="22.5" customHeight="1">
      <c r="A776" s="40"/>
      <c r="B776" s="172"/>
      <c r="C776" s="160"/>
    </row>
    <row r="777" ht="22.5" customHeight="1">
      <c r="A777" s="40"/>
      <c r="B777" s="172"/>
      <c r="C777" s="160"/>
    </row>
    <row r="778" ht="22.5" customHeight="1">
      <c r="A778" s="40"/>
      <c r="B778" s="172"/>
      <c r="C778" s="160"/>
    </row>
    <row r="779" ht="22.5" customHeight="1">
      <c r="A779" s="40"/>
      <c r="B779" s="172"/>
      <c r="C779" s="160"/>
    </row>
    <row r="780" ht="22.5" customHeight="1">
      <c r="A780" s="40"/>
      <c r="B780" s="172"/>
      <c r="C780" s="160"/>
    </row>
    <row r="781" ht="22.5" customHeight="1">
      <c r="A781" s="40"/>
      <c r="B781" s="172"/>
      <c r="C781" s="160"/>
    </row>
    <row r="782" ht="22.5" customHeight="1">
      <c r="A782" s="40"/>
      <c r="B782" s="172"/>
      <c r="C782" s="160"/>
    </row>
    <row r="783" ht="22.5" customHeight="1">
      <c r="A783" s="40"/>
      <c r="B783" s="172"/>
      <c r="C783" s="160"/>
    </row>
    <row r="784" ht="22.5" customHeight="1">
      <c r="A784" s="40"/>
      <c r="B784" s="172"/>
      <c r="C784" s="160"/>
    </row>
    <row r="785" ht="22.5" customHeight="1">
      <c r="A785" s="40"/>
      <c r="B785" s="172"/>
      <c r="C785" s="160"/>
    </row>
    <row r="786" ht="22.5" customHeight="1">
      <c r="A786" s="40"/>
      <c r="B786" s="172"/>
      <c r="C786" s="160"/>
    </row>
    <row r="787" ht="22.5" customHeight="1">
      <c r="A787" s="40"/>
      <c r="B787" s="172"/>
      <c r="C787" s="160"/>
    </row>
    <row r="788" ht="22.5" customHeight="1">
      <c r="A788" s="40"/>
      <c r="B788" s="172"/>
      <c r="C788" s="160"/>
    </row>
    <row r="789" ht="22.5" customHeight="1">
      <c r="A789" s="40"/>
      <c r="B789" s="172"/>
      <c r="C789" s="160"/>
    </row>
    <row r="790" ht="22.5" customHeight="1">
      <c r="A790" s="40"/>
      <c r="B790" s="172"/>
      <c r="C790" s="160"/>
    </row>
    <row r="791" ht="22.5" customHeight="1">
      <c r="A791" s="40"/>
      <c r="B791" s="172"/>
      <c r="C791" s="160"/>
    </row>
    <row r="792" ht="22.5" customHeight="1">
      <c r="A792" s="40"/>
      <c r="B792" s="172"/>
      <c r="C792" s="160"/>
    </row>
    <row r="793" ht="22.5" customHeight="1">
      <c r="A793" s="40"/>
      <c r="B793" s="172"/>
      <c r="C793" s="160"/>
    </row>
    <row r="794" ht="22.5" customHeight="1">
      <c r="A794" s="40"/>
      <c r="B794" s="172"/>
      <c r="C794" s="160"/>
    </row>
    <row r="795" ht="22.5" customHeight="1">
      <c r="A795" s="40"/>
      <c r="B795" s="172"/>
      <c r="C795" s="160"/>
    </row>
    <row r="796" ht="22.5" customHeight="1">
      <c r="A796" s="40"/>
      <c r="B796" s="172"/>
      <c r="C796" s="160"/>
    </row>
    <row r="797" ht="22.5" customHeight="1">
      <c r="A797" s="40"/>
      <c r="B797" s="172"/>
      <c r="C797" s="160"/>
    </row>
    <row r="798" ht="22.5" customHeight="1">
      <c r="A798" s="40"/>
      <c r="B798" s="172"/>
      <c r="C798" s="160"/>
    </row>
    <row r="799" ht="22.5" customHeight="1">
      <c r="A799" s="40"/>
      <c r="B799" s="172"/>
      <c r="C799" s="160"/>
    </row>
    <row r="800" ht="22.5" customHeight="1">
      <c r="A800" s="40"/>
      <c r="B800" s="172"/>
      <c r="C800" s="160"/>
    </row>
    <row r="801" ht="22.5" customHeight="1">
      <c r="A801" s="40"/>
      <c r="B801" s="172"/>
      <c r="C801" s="160"/>
    </row>
    <row r="802" ht="22.5" customHeight="1">
      <c r="A802" s="40"/>
      <c r="B802" s="172"/>
      <c r="C802" s="160"/>
    </row>
    <row r="803" ht="22.5" customHeight="1">
      <c r="A803" s="40"/>
      <c r="B803" s="172"/>
      <c r="C803" s="160"/>
    </row>
    <row r="804" ht="22.5" customHeight="1">
      <c r="A804" s="40"/>
      <c r="B804" s="172"/>
      <c r="C804" s="160"/>
    </row>
    <row r="805" ht="22.5" customHeight="1">
      <c r="A805" s="40"/>
      <c r="B805" s="172"/>
      <c r="C805" s="160"/>
    </row>
    <row r="806" ht="22.5" customHeight="1">
      <c r="A806" s="40"/>
      <c r="B806" s="172"/>
      <c r="C806" s="160"/>
    </row>
    <row r="807" ht="22.5" customHeight="1">
      <c r="A807" s="40"/>
      <c r="B807" s="172"/>
      <c r="C807" s="160"/>
    </row>
    <row r="808" ht="22.5" customHeight="1">
      <c r="A808" s="40"/>
      <c r="B808" s="172"/>
      <c r="C808" s="160"/>
    </row>
    <row r="809" ht="22.5" customHeight="1">
      <c r="A809" s="40"/>
      <c r="B809" s="172"/>
      <c r="C809" s="160"/>
    </row>
    <row r="810" ht="22.5" customHeight="1">
      <c r="A810" s="40"/>
      <c r="B810" s="172"/>
      <c r="C810" s="160"/>
    </row>
    <row r="811" ht="22.5" customHeight="1">
      <c r="A811" s="40"/>
      <c r="B811" s="172"/>
      <c r="C811" s="160"/>
    </row>
    <row r="812" ht="22.5" customHeight="1">
      <c r="A812" s="40"/>
      <c r="B812" s="172"/>
      <c r="C812" s="160"/>
    </row>
    <row r="813" ht="22.5" customHeight="1">
      <c r="A813" s="40"/>
      <c r="B813" s="172"/>
      <c r="C813" s="160"/>
    </row>
    <row r="814" ht="22.5" customHeight="1">
      <c r="A814" s="40"/>
      <c r="B814" s="172"/>
      <c r="C814" s="160"/>
    </row>
    <row r="815" ht="22.5" customHeight="1">
      <c r="A815" s="40"/>
      <c r="B815" s="172"/>
      <c r="C815" s="160"/>
    </row>
    <row r="816" ht="22.5" customHeight="1">
      <c r="A816" s="40"/>
      <c r="B816" s="172"/>
      <c r="C816" s="160"/>
    </row>
    <row r="817" ht="22.5" customHeight="1">
      <c r="A817" s="40"/>
      <c r="B817" s="172"/>
      <c r="C817" s="160"/>
    </row>
    <row r="818" ht="22.5" customHeight="1">
      <c r="A818" s="40"/>
      <c r="B818" s="172"/>
      <c r="C818" s="160"/>
    </row>
    <row r="819" ht="22.5" customHeight="1">
      <c r="A819" s="40"/>
      <c r="B819" s="172"/>
      <c r="C819" s="160"/>
    </row>
    <row r="820" ht="22.5" customHeight="1">
      <c r="A820" s="40"/>
      <c r="B820" s="172"/>
      <c r="C820" s="160"/>
    </row>
    <row r="821" ht="22.5" customHeight="1">
      <c r="A821" s="40"/>
      <c r="B821" s="172"/>
      <c r="C821" s="160"/>
    </row>
    <row r="822" ht="22.5" customHeight="1">
      <c r="A822" s="40"/>
      <c r="B822" s="172"/>
      <c r="C822" s="160"/>
    </row>
    <row r="823" ht="22.5" customHeight="1">
      <c r="A823" s="40"/>
      <c r="B823" s="172"/>
      <c r="C823" s="160"/>
    </row>
    <row r="824" ht="22.5" customHeight="1">
      <c r="A824" s="40"/>
      <c r="B824" s="172"/>
      <c r="C824" s="160"/>
    </row>
    <row r="825" ht="22.5" customHeight="1">
      <c r="A825" s="40"/>
      <c r="B825" s="172"/>
      <c r="C825" s="160"/>
    </row>
    <row r="826" ht="22.5" customHeight="1">
      <c r="A826" s="40"/>
      <c r="B826" s="172"/>
      <c r="C826" s="160"/>
    </row>
    <row r="827" ht="22.5" customHeight="1">
      <c r="A827" s="40"/>
      <c r="B827" s="172"/>
      <c r="C827" s="160"/>
    </row>
    <row r="828" ht="22.5" customHeight="1">
      <c r="A828" s="40"/>
      <c r="B828" s="172"/>
      <c r="C828" s="160"/>
    </row>
    <row r="829" ht="22.5" customHeight="1">
      <c r="A829" s="40"/>
      <c r="B829" s="172"/>
      <c r="C829" s="160"/>
    </row>
    <row r="830" ht="22.5" customHeight="1">
      <c r="A830" s="40"/>
      <c r="B830" s="172"/>
      <c r="C830" s="160"/>
    </row>
    <row r="831" ht="22.5" customHeight="1">
      <c r="A831" s="40"/>
      <c r="B831" s="172"/>
      <c r="C831" s="160"/>
    </row>
    <row r="832" ht="22.5" customHeight="1">
      <c r="A832" s="40"/>
      <c r="B832" s="172"/>
      <c r="C832" s="160"/>
    </row>
    <row r="833" ht="22.5" customHeight="1">
      <c r="A833" s="40"/>
      <c r="B833" s="172"/>
      <c r="C833" s="160"/>
    </row>
    <row r="834" ht="22.5" customHeight="1">
      <c r="A834" s="40"/>
      <c r="B834" s="172"/>
      <c r="C834" s="160"/>
    </row>
    <row r="835" ht="22.5" customHeight="1">
      <c r="A835" s="40"/>
      <c r="B835" s="172"/>
      <c r="C835" s="160"/>
    </row>
    <row r="836" ht="22.5" customHeight="1">
      <c r="A836" s="40"/>
      <c r="B836" s="172"/>
      <c r="C836" s="160"/>
    </row>
    <row r="837" ht="22.5" customHeight="1">
      <c r="A837" s="40"/>
      <c r="B837" s="172"/>
      <c r="C837" s="160"/>
    </row>
    <row r="838" ht="22.5" customHeight="1">
      <c r="A838" s="40"/>
      <c r="B838" s="172"/>
      <c r="C838" s="160"/>
    </row>
    <row r="839" ht="22.5" customHeight="1">
      <c r="A839" s="40"/>
      <c r="B839" s="172"/>
      <c r="C839" s="160"/>
    </row>
    <row r="840" ht="22.5" customHeight="1">
      <c r="A840" s="40"/>
      <c r="B840" s="172"/>
      <c r="C840" s="160"/>
    </row>
    <row r="841" ht="22.5" customHeight="1">
      <c r="A841" s="40"/>
      <c r="B841" s="172"/>
      <c r="C841" s="160"/>
    </row>
    <row r="842" ht="22.5" customHeight="1">
      <c r="A842" s="40"/>
      <c r="B842" s="172"/>
      <c r="C842" s="160"/>
    </row>
    <row r="843" ht="22.5" customHeight="1">
      <c r="A843" s="40"/>
      <c r="B843" s="172"/>
      <c r="C843" s="160"/>
    </row>
    <row r="844" ht="22.5" customHeight="1">
      <c r="A844" s="40"/>
      <c r="B844" s="172"/>
      <c r="C844" s="160"/>
    </row>
    <row r="845" ht="22.5" customHeight="1">
      <c r="A845" s="40"/>
      <c r="B845" s="172"/>
      <c r="C845" s="160"/>
    </row>
    <row r="846" ht="22.5" customHeight="1">
      <c r="A846" s="40"/>
      <c r="B846" s="172"/>
      <c r="C846" s="160"/>
    </row>
    <row r="847" ht="22.5" customHeight="1">
      <c r="A847" s="40"/>
      <c r="B847" s="172"/>
      <c r="C847" s="160"/>
    </row>
    <row r="848" ht="22.5" customHeight="1">
      <c r="A848" s="40"/>
      <c r="B848" s="172"/>
      <c r="C848" s="160"/>
    </row>
    <row r="849" ht="22.5" customHeight="1">
      <c r="A849" s="40"/>
      <c r="B849" s="172"/>
      <c r="C849" s="160"/>
    </row>
    <row r="850" ht="22.5" customHeight="1">
      <c r="A850" s="40"/>
      <c r="B850" s="172"/>
      <c r="C850" s="160"/>
    </row>
    <row r="851" ht="22.5" customHeight="1">
      <c r="A851" s="40"/>
      <c r="B851" s="172"/>
      <c r="C851" s="160"/>
    </row>
    <row r="852" ht="22.5" customHeight="1">
      <c r="A852" s="40"/>
      <c r="B852" s="172"/>
      <c r="C852" s="160"/>
    </row>
    <row r="853" ht="22.5" customHeight="1">
      <c r="A853" s="40"/>
      <c r="B853" s="172"/>
      <c r="C853" s="160"/>
    </row>
    <row r="854" ht="22.5" customHeight="1">
      <c r="A854" s="40"/>
      <c r="B854" s="172"/>
      <c r="C854" s="160"/>
    </row>
    <row r="855" ht="22.5" customHeight="1">
      <c r="A855" s="40"/>
      <c r="B855" s="172"/>
      <c r="C855" s="160"/>
    </row>
    <row r="856" ht="22.5" customHeight="1">
      <c r="A856" s="40"/>
      <c r="B856" s="172"/>
      <c r="C856" s="160"/>
    </row>
    <row r="857" ht="22.5" customHeight="1">
      <c r="A857" s="40"/>
      <c r="B857" s="172"/>
      <c r="C857" s="160"/>
    </row>
    <row r="858" ht="22.5" customHeight="1">
      <c r="A858" s="40"/>
      <c r="B858" s="172"/>
      <c r="C858" s="160"/>
    </row>
    <row r="859" ht="22.5" customHeight="1">
      <c r="A859" s="40"/>
      <c r="B859" s="172"/>
      <c r="C859" s="160"/>
    </row>
    <row r="860" ht="22.5" customHeight="1">
      <c r="A860" s="40"/>
      <c r="B860" s="172"/>
      <c r="C860" s="160"/>
    </row>
    <row r="861" ht="22.5" customHeight="1">
      <c r="A861" s="40"/>
      <c r="B861" s="172"/>
      <c r="C861" s="160"/>
    </row>
    <row r="862" ht="22.5" customHeight="1">
      <c r="A862" s="40"/>
      <c r="B862" s="172"/>
      <c r="C862" s="160"/>
    </row>
    <row r="863" ht="22.5" customHeight="1">
      <c r="A863" s="40"/>
      <c r="B863" s="172"/>
      <c r="C863" s="160"/>
    </row>
    <row r="864" ht="22.5" customHeight="1">
      <c r="A864" s="40"/>
      <c r="B864" s="172"/>
      <c r="C864" s="160"/>
    </row>
    <row r="865" ht="22.5" customHeight="1">
      <c r="A865" s="40"/>
      <c r="B865" s="172"/>
      <c r="C865" s="160"/>
    </row>
    <row r="866" ht="22.5" customHeight="1">
      <c r="A866" s="40"/>
      <c r="B866" s="172"/>
      <c r="C866" s="160"/>
    </row>
    <row r="867" ht="22.5" customHeight="1">
      <c r="A867" s="40"/>
      <c r="B867" s="172"/>
      <c r="C867" s="160"/>
    </row>
    <row r="868" ht="22.5" customHeight="1">
      <c r="A868" s="40"/>
      <c r="B868" s="172"/>
      <c r="C868" s="160"/>
    </row>
    <row r="869" ht="22.5" customHeight="1">
      <c r="A869" s="40"/>
      <c r="B869" s="172"/>
      <c r="C869" s="160"/>
    </row>
    <row r="870" ht="22.5" customHeight="1">
      <c r="A870" s="40"/>
      <c r="B870" s="172"/>
      <c r="C870" s="160"/>
    </row>
    <row r="871" ht="22.5" customHeight="1">
      <c r="A871" s="40"/>
      <c r="B871" s="172"/>
      <c r="C871" s="160"/>
    </row>
    <row r="872" ht="22.5" customHeight="1">
      <c r="A872" s="40"/>
      <c r="B872" s="172"/>
      <c r="C872" s="160"/>
    </row>
    <row r="873" ht="22.5" customHeight="1">
      <c r="A873" s="40"/>
      <c r="B873" s="172"/>
      <c r="C873" s="160"/>
    </row>
    <row r="874" ht="22.5" customHeight="1">
      <c r="A874" s="40"/>
      <c r="B874" s="172"/>
      <c r="C874" s="160"/>
    </row>
    <row r="875" ht="22.5" customHeight="1">
      <c r="A875" s="40"/>
      <c r="B875" s="172"/>
      <c r="C875" s="160"/>
    </row>
    <row r="876" ht="22.5" customHeight="1">
      <c r="A876" s="40"/>
      <c r="B876" s="172"/>
      <c r="C876" s="160"/>
    </row>
    <row r="877" ht="22.5" customHeight="1">
      <c r="A877" s="40"/>
      <c r="B877" s="172"/>
      <c r="C877" s="160"/>
    </row>
    <row r="878" ht="22.5" customHeight="1">
      <c r="A878" s="40"/>
      <c r="B878" s="172"/>
      <c r="C878" s="160"/>
    </row>
    <row r="879" ht="22.5" customHeight="1">
      <c r="A879" s="40"/>
      <c r="B879" s="172"/>
      <c r="C879" s="160"/>
    </row>
    <row r="880" ht="22.5" customHeight="1">
      <c r="A880" s="40"/>
      <c r="B880" s="172"/>
      <c r="C880" s="160"/>
    </row>
    <row r="881" ht="22.5" customHeight="1">
      <c r="A881" s="40"/>
      <c r="B881" s="172"/>
      <c r="C881" s="160"/>
    </row>
    <row r="882" ht="22.5" customHeight="1">
      <c r="A882" s="40"/>
      <c r="B882" s="172"/>
      <c r="C882" s="160"/>
    </row>
    <row r="883" ht="22.5" customHeight="1">
      <c r="A883" s="40"/>
      <c r="B883" s="172"/>
      <c r="C883" s="160"/>
    </row>
    <row r="884" ht="22.5" customHeight="1">
      <c r="A884" s="40"/>
      <c r="B884" s="172"/>
      <c r="C884" s="160"/>
    </row>
    <row r="885" ht="22.5" customHeight="1">
      <c r="A885" s="40"/>
      <c r="B885" s="172"/>
      <c r="C885" s="160"/>
    </row>
    <row r="886" ht="22.5" customHeight="1">
      <c r="A886" s="40"/>
      <c r="B886" s="172"/>
      <c r="C886" s="160"/>
    </row>
    <row r="887" ht="22.5" customHeight="1">
      <c r="A887" s="40"/>
      <c r="B887" s="172"/>
      <c r="C887" s="160"/>
    </row>
    <row r="888" ht="22.5" customHeight="1">
      <c r="A888" s="40"/>
      <c r="B888" s="172"/>
      <c r="C888" s="160"/>
    </row>
    <row r="889" ht="22.5" customHeight="1">
      <c r="A889" s="40"/>
      <c r="B889" s="172"/>
      <c r="C889" s="160"/>
    </row>
    <row r="890" ht="22.5" customHeight="1">
      <c r="A890" s="40"/>
      <c r="B890" s="172"/>
      <c r="C890" s="160"/>
    </row>
    <row r="891" ht="22.5" customHeight="1">
      <c r="A891" s="40"/>
      <c r="B891" s="172"/>
      <c r="C891" s="160"/>
    </row>
    <row r="892" ht="22.5" customHeight="1">
      <c r="A892" s="40"/>
      <c r="B892" s="172"/>
      <c r="C892" s="160"/>
    </row>
    <row r="893" ht="22.5" customHeight="1">
      <c r="A893" s="40"/>
      <c r="B893" s="172"/>
      <c r="C893" s="160"/>
    </row>
    <row r="894" ht="22.5" customHeight="1">
      <c r="A894" s="40"/>
      <c r="B894" s="172"/>
      <c r="C894" s="160"/>
    </row>
    <row r="895" ht="22.5" customHeight="1">
      <c r="A895" s="40"/>
      <c r="B895" s="172"/>
      <c r="C895" s="160"/>
    </row>
    <row r="896" ht="22.5" customHeight="1">
      <c r="A896" s="40"/>
      <c r="B896" s="172"/>
      <c r="C896" s="160"/>
    </row>
    <row r="897" ht="22.5" customHeight="1">
      <c r="A897" s="40"/>
      <c r="B897" s="172"/>
      <c r="C897" s="160"/>
    </row>
    <row r="898" ht="22.5" customHeight="1">
      <c r="A898" s="40"/>
      <c r="B898" s="172"/>
      <c r="C898" s="160"/>
    </row>
    <row r="899" ht="22.5" customHeight="1">
      <c r="A899" s="40"/>
      <c r="B899" s="172"/>
      <c r="C899" s="160"/>
    </row>
    <row r="900" ht="22.5" customHeight="1">
      <c r="A900" s="40"/>
      <c r="B900" s="172"/>
      <c r="C900" s="160"/>
    </row>
    <row r="901" ht="22.5" customHeight="1">
      <c r="A901" s="40"/>
      <c r="B901" s="172"/>
      <c r="C901" s="160"/>
    </row>
    <row r="902" ht="22.5" customHeight="1">
      <c r="A902" s="40"/>
      <c r="B902" s="172"/>
      <c r="C902" s="160"/>
    </row>
    <row r="903" ht="22.5" customHeight="1">
      <c r="A903" s="40"/>
      <c r="B903" s="172"/>
      <c r="C903" s="160"/>
    </row>
    <row r="904" ht="22.5" customHeight="1">
      <c r="A904" s="40"/>
      <c r="B904" s="172"/>
      <c r="C904" s="160"/>
    </row>
    <row r="905" ht="22.5" customHeight="1">
      <c r="A905" s="40"/>
      <c r="B905" s="172"/>
      <c r="C905" s="160"/>
    </row>
    <row r="906" ht="22.5" customHeight="1">
      <c r="A906" s="40"/>
      <c r="B906" s="172"/>
      <c r="C906" s="160"/>
    </row>
    <row r="907" ht="22.5" customHeight="1">
      <c r="A907" s="40"/>
      <c r="B907" s="172"/>
      <c r="C907" s="160"/>
    </row>
    <row r="908" ht="22.5" customHeight="1">
      <c r="A908" s="40"/>
      <c r="B908" s="172"/>
      <c r="C908" s="160"/>
    </row>
    <row r="909" ht="22.5" customHeight="1">
      <c r="A909" s="40"/>
      <c r="B909" s="172"/>
      <c r="C909" s="160"/>
    </row>
    <row r="910" ht="22.5" customHeight="1">
      <c r="A910" s="40"/>
      <c r="B910" s="172"/>
      <c r="C910" s="160"/>
    </row>
    <row r="911" ht="22.5" customHeight="1">
      <c r="A911" s="40"/>
      <c r="B911" s="172"/>
      <c r="C911" s="160"/>
    </row>
    <row r="912" ht="22.5" customHeight="1">
      <c r="A912" s="40"/>
      <c r="B912" s="172"/>
      <c r="C912" s="160"/>
    </row>
    <row r="913" ht="22.5" customHeight="1">
      <c r="A913" s="40"/>
      <c r="B913" s="172"/>
      <c r="C913" s="160"/>
    </row>
    <row r="914" ht="22.5" customHeight="1">
      <c r="A914" s="40"/>
      <c r="B914" s="172"/>
      <c r="C914" s="160"/>
    </row>
    <row r="915" ht="22.5" customHeight="1">
      <c r="A915" s="40"/>
      <c r="B915" s="172"/>
      <c r="C915" s="160"/>
    </row>
    <row r="916" ht="22.5" customHeight="1">
      <c r="A916" s="40"/>
      <c r="B916" s="172"/>
      <c r="C916" s="160"/>
    </row>
    <row r="917" ht="22.5" customHeight="1">
      <c r="A917" s="40"/>
      <c r="B917" s="172"/>
      <c r="C917" s="160"/>
    </row>
    <row r="918" ht="22.5" customHeight="1">
      <c r="A918" s="40"/>
      <c r="B918" s="172"/>
      <c r="C918" s="160"/>
    </row>
    <row r="919" ht="22.5" customHeight="1">
      <c r="A919" s="40"/>
      <c r="B919" s="172"/>
      <c r="C919" s="160"/>
    </row>
    <row r="920" ht="22.5" customHeight="1">
      <c r="A920" s="40"/>
      <c r="B920" s="172"/>
      <c r="C920" s="160"/>
    </row>
    <row r="921" ht="22.5" customHeight="1">
      <c r="A921" s="40"/>
      <c r="B921" s="172"/>
      <c r="C921" s="160"/>
    </row>
    <row r="922" ht="22.5" customHeight="1">
      <c r="A922" s="40"/>
      <c r="B922" s="172"/>
      <c r="C922" s="160"/>
    </row>
    <row r="923" ht="22.5" customHeight="1">
      <c r="A923" s="40"/>
      <c r="B923" s="172"/>
      <c r="C923" s="160"/>
    </row>
    <row r="924" ht="22.5" customHeight="1">
      <c r="A924" s="40"/>
      <c r="B924" s="172"/>
      <c r="C924" s="160"/>
    </row>
    <row r="925" ht="22.5" customHeight="1">
      <c r="A925" s="40"/>
      <c r="B925" s="172"/>
      <c r="C925" s="160"/>
    </row>
    <row r="926" ht="22.5" customHeight="1">
      <c r="A926" s="40"/>
      <c r="B926" s="172"/>
      <c r="C926" s="160"/>
    </row>
    <row r="927" ht="22.5" customHeight="1">
      <c r="A927" s="40"/>
      <c r="B927" s="172"/>
      <c r="C927" s="160"/>
    </row>
    <row r="928" ht="22.5" customHeight="1">
      <c r="A928" s="40"/>
      <c r="B928" s="172"/>
      <c r="C928" s="160"/>
    </row>
    <row r="929" ht="22.5" customHeight="1">
      <c r="A929" s="40"/>
      <c r="B929" s="172"/>
      <c r="C929" s="160"/>
    </row>
    <row r="930" ht="22.5" customHeight="1">
      <c r="A930" s="40"/>
      <c r="B930" s="172"/>
      <c r="C930" s="160"/>
    </row>
    <row r="931" ht="22.5" customHeight="1">
      <c r="A931" s="40"/>
      <c r="B931" s="172"/>
      <c r="C931" s="160"/>
    </row>
    <row r="932" ht="22.5" customHeight="1">
      <c r="A932" s="40"/>
      <c r="B932" s="172"/>
      <c r="C932" s="160"/>
    </row>
    <row r="933" ht="22.5" customHeight="1">
      <c r="A933" s="40"/>
      <c r="B933" s="172"/>
      <c r="C933" s="160"/>
    </row>
    <row r="934" ht="22.5" customHeight="1">
      <c r="A934" s="40"/>
      <c r="B934" s="172"/>
      <c r="C934" s="160"/>
    </row>
    <row r="935" ht="22.5" customHeight="1">
      <c r="A935" s="40"/>
      <c r="B935" s="172"/>
      <c r="C935" s="160"/>
    </row>
    <row r="936" ht="22.5" customHeight="1">
      <c r="A936" s="40"/>
      <c r="B936" s="172"/>
      <c r="C936" s="160"/>
    </row>
    <row r="937" ht="22.5" customHeight="1">
      <c r="A937" s="40"/>
      <c r="B937" s="172"/>
      <c r="C937" s="160"/>
    </row>
    <row r="938" ht="22.5" customHeight="1">
      <c r="A938" s="40"/>
      <c r="B938" s="172"/>
      <c r="C938" s="160"/>
    </row>
    <row r="939" ht="22.5" customHeight="1">
      <c r="A939" s="40"/>
      <c r="B939" s="172"/>
      <c r="C939" s="160"/>
    </row>
    <row r="940" ht="22.5" customHeight="1">
      <c r="A940" s="40"/>
      <c r="B940" s="172"/>
      <c r="C940" s="160"/>
    </row>
    <row r="941" ht="22.5" customHeight="1">
      <c r="A941" s="40"/>
      <c r="B941" s="172"/>
      <c r="C941" s="160"/>
    </row>
    <row r="942" ht="22.5" customHeight="1">
      <c r="A942" s="40"/>
      <c r="B942" s="172"/>
      <c r="C942" s="160"/>
    </row>
    <row r="943" ht="22.5" customHeight="1">
      <c r="A943" s="40"/>
      <c r="B943" s="172"/>
      <c r="C943" s="160"/>
    </row>
    <row r="944" ht="22.5" customHeight="1">
      <c r="A944" s="40"/>
      <c r="B944" s="172"/>
      <c r="C944" s="160"/>
    </row>
    <row r="945" ht="22.5" customHeight="1">
      <c r="A945" s="40"/>
      <c r="B945" s="172"/>
      <c r="C945" s="160"/>
    </row>
    <row r="946" ht="22.5" customHeight="1">
      <c r="A946" s="40"/>
      <c r="B946" s="172"/>
      <c r="C946" s="160"/>
    </row>
    <row r="947" ht="22.5" customHeight="1">
      <c r="A947" s="40"/>
      <c r="B947" s="172"/>
      <c r="C947" s="160"/>
    </row>
    <row r="948" ht="22.5" customHeight="1">
      <c r="A948" s="40"/>
      <c r="B948" s="172"/>
      <c r="C948" s="160"/>
    </row>
    <row r="949" ht="22.5" customHeight="1">
      <c r="A949" s="40"/>
      <c r="B949" s="172"/>
      <c r="C949" s="160"/>
    </row>
    <row r="950" ht="22.5" customHeight="1">
      <c r="A950" s="40"/>
      <c r="B950" s="172"/>
      <c r="C950" s="160"/>
    </row>
    <row r="951" ht="22.5" customHeight="1">
      <c r="A951" s="40"/>
      <c r="B951" s="172"/>
      <c r="C951" s="160"/>
    </row>
    <row r="952" ht="22.5" customHeight="1">
      <c r="A952" s="40"/>
      <c r="B952" s="172"/>
      <c r="C952" s="160"/>
    </row>
    <row r="953" ht="22.5" customHeight="1">
      <c r="A953" s="40"/>
      <c r="B953" s="172"/>
      <c r="C953" s="160"/>
    </row>
    <row r="954" ht="22.5" customHeight="1">
      <c r="A954" s="40"/>
      <c r="B954" s="172"/>
      <c r="C954" s="160"/>
    </row>
    <row r="955" ht="22.5" customHeight="1">
      <c r="A955" s="40"/>
      <c r="B955" s="172"/>
      <c r="C955" s="160"/>
    </row>
    <row r="956" ht="22.5" customHeight="1">
      <c r="A956" s="40"/>
      <c r="B956" s="172"/>
      <c r="C956" s="160"/>
    </row>
    <row r="957" ht="22.5" customHeight="1">
      <c r="A957" s="40"/>
      <c r="B957" s="172"/>
      <c r="C957" s="160"/>
    </row>
    <row r="958" ht="22.5" customHeight="1">
      <c r="A958" s="40"/>
      <c r="B958" s="172"/>
      <c r="C958" s="160"/>
    </row>
    <row r="959" ht="22.5" customHeight="1">
      <c r="A959" s="40"/>
      <c r="B959" s="172"/>
      <c r="C959" s="160"/>
    </row>
    <row r="960" ht="22.5" customHeight="1">
      <c r="A960" s="40"/>
      <c r="B960" s="172"/>
      <c r="C960" s="160"/>
    </row>
    <row r="961" ht="22.5" customHeight="1">
      <c r="A961" s="40"/>
      <c r="B961" s="172"/>
      <c r="C961" s="160"/>
    </row>
    <row r="962" ht="22.5" customHeight="1">
      <c r="A962" s="40"/>
      <c r="B962" s="172"/>
      <c r="C962" s="160"/>
    </row>
    <row r="963" ht="22.5" customHeight="1">
      <c r="A963" s="40"/>
      <c r="B963" s="172"/>
      <c r="C963" s="160"/>
    </row>
    <row r="964" ht="22.5" customHeight="1">
      <c r="A964" s="40"/>
      <c r="B964" s="172"/>
      <c r="C964" s="160"/>
    </row>
    <row r="965" ht="22.5" customHeight="1">
      <c r="A965" s="40"/>
      <c r="B965" s="172"/>
      <c r="C965" s="160"/>
    </row>
    <row r="966" ht="22.5" customHeight="1">
      <c r="A966" s="40"/>
      <c r="B966" s="172"/>
      <c r="C966" s="160"/>
    </row>
    <row r="967" ht="22.5" customHeight="1">
      <c r="A967" s="40"/>
      <c r="B967" s="172"/>
      <c r="C967" s="160"/>
    </row>
    <row r="968" ht="22.5" customHeight="1">
      <c r="A968" s="40"/>
      <c r="B968" s="172"/>
      <c r="C968" s="160"/>
    </row>
    <row r="969" ht="22.5" customHeight="1">
      <c r="A969" s="40"/>
      <c r="B969" s="172"/>
      <c r="C969" s="160"/>
    </row>
    <row r="970" ht="22.5" customHeight="1">
      <c r="A970" s="40"/>
      <c r="B970" s="172"/>
      <c r="C970" s="160"/>
    </row>
    <row r="971" ht="22.5" customHeight="1">
      <c r="A971" s="40"/>
      <c r="B971" s="172"/>
      <c r="C971" s="160"/>
    </row>
    <row r="972" ht="22.5" customHeight="1">
      <c r="A972" s="40"/>
      <c r="B972" s="172"/>
      <c r="C972" s="160"/>
    </row>
    <row r="973" ht="22.5" customHeight="1">
      <c r="A973" s="40"/>
      <c r="B973" s="172"/>
      <c r="C973" s="160"/>
    </row>
    <row r="974" ht="22.5" customHeight="1">
      <c r="A974" s="40"/>
      <c r="B974" s="172"/>
      <c r="C974" s="160"/>
    </row>
    <row r="975" ht="22.5" customHeight="1">
      <c r="A975" s="40"/>
      <c r="B975" s="172"/>
      <c r="C975" s="160"/>
    </row>
    <row r="976" ht="22.5" customHeight="1">
      <c r="A976" s="40"/>
      <c r="B976" s="172"/>
      <c r="C976" s="160"/>
    </row>
    <row r="977" ht="22.5" customHeight="1">
      <c r="A977" s="40"/>
      <c r="B977" s="172"/>
      <c r="C977" s="160"/>
    </row>
    <row r="978" ht="22.5" customHeight="1">
      <c r="A978" s="40"/>
      <c r="B978" s="172"/>
      <c r="C978" s="160"/>
    </row>
    <row r="979" ht="22.5" customHeight="1">
      <c r="A979" s="40"/>
      <c r="B979" s="172"/>
      <c r="C979" s="160"/>
    </row>
    <row r="980" ht="22.5" customHeight="1">
      <c r="A980" s="40"/>
      <c r="B980" s="172"/>
      <c r="C980" s="160"/>
    </row>
    <row r="981" ht="22.5" customHeight="1">
      <c r="A981" s="40"/>
      <c r="B981" s="172"/>
      <c r="C981" s="160"/>
    </row>
    <row r="982" ht="22.5" customHeight="1">
      <c r="A982" s="40"/>
      <c r="B982" s="172"/>
      <c r="C982" s="160"/>
    </row>
    <row r="983" ht="22.5" customHeight="1">
      <c r="A983" s="40"/>
      <c r="B983" s="172"/>
      <c r="C983" s="160"/>
    </row>
    <row r="984" ht="22.5" customHeight="1">
      <c r="A984" s="40"/>
      <c r="B984" s="172"/>
      <c r="C984" s="160"/>
    </row>
    <row r="985" ht="22.5" customHeight="1">
      <c r="A985" s="40"/>
      <c r="B985" s="172"/>
      <c r="C985" s="160"/>
    </row>
    <row r="986" ht="22.5" customHeight="1">
      <c r="A986" s="40"/>
      <c r="B986" s="172"/>
      <c r="C986" s="160"/>
    </row>
    <row r="987" ht="22.5" customHeight="1">
      <c r="A987" s="40"/>
      <c r="B987" s="172"/>
      <c r="C987" s="160"/>
    </row>
    <row r="988" ht="22.5" customHeight="1">
      <c r="A988" s="40"/>
      <c r="B988" s="172"/>
      <c r="C988" s="160"/>
    </row>
    <row r="989" ht="22.5" customHeight="1">
      <c r="A989" s="40"/>
      <c r="B989" s="172"/>
      <c r="C989" s="160"/>
    </row>
    <row r="990" ht="22.5" customHeight="1">
      <c r="A990" s="40"/>
      <c r="B990" s="172"/>
      <c r="C990" s="160"/>
    </row>
    <row r="991" ht="22.5" customHeight="1">
      <c r="A991" s="40"/>
      <c r="B991" s="172"/>
      <c r="C991" s="160"/>
    </row>
    <row r="992" ht="22.5" customHeight="1">
      <c r="A992" s="40"/>
      <c r="B992" s="172"/>
      <c r="C992" s="160"/>
    </row>
    <row r="993" ht="22.5" customHeight="1">
      <c r="A993" s="40"/>
      <c r="B993" s="172"/>
      <c r="C993" s="160"/>
    </row>
    <row r="994" ht="22.5" customHeight="1">
      <c r="A994" s="40"/>
      <c r="B994" s="172"/>
      <c r="C994" s="160"/>
    </row>
    <row r="995" ht="22.5" customHeight="1">
      <c r="A995" s="40"/>
      <c r="B995" s="172"/>
      <c r="C995" s="160"/>
    </row>
    <row r="996" ht="22.5" customHeight="1">
      <c r="A996" s="40"/>
      <c r="B996" s="172"/>
      <c r="C996" s="160"/>
    </row>
    <row r="997" ht="22.5" customHeight="1">
      <c r="A997" s="40"/>
      <c r="B997" s="172"/>
      <c r="C997" s="160"/>
    </row>
    <row r="998" ht="22.5" customHeight="1">
      <c r="A998" s="40"/>
      <c r="B998" s="172"/>
      <c r="C998" s="160"/>
    </row>
    <row r="999" ht="22.5" customHeight="1">
      <c r="A999" s="40"/>
      <c r="B999" s="172"/>
      <c r="C999" s="160"/>
    </row>
    <row r="1000" ht="22.5" customHeight="1">
      <c r="A1000" s="40"/>
      <c r="B1000" s="172"/>
      <c r="C1000" s="160"/>
    </row>
    <row r="1001" ht="22.5" customHeight="1">
      <c r="A1001" s="40"/>
      <c r="B1001" s="172"/>
      <c r="C1001" s="160"/>
    </row>
    <row r="1002" ht="22.5" customHeight="1">
      <c r="A1002" s="40"/>
      <c r="B1002" s="172"/>
      <c r="C1002" s="160"/>
    </row>
    <row r="1003" ht="22.5" customHeight="1">
      <c r="A1003" s="40"/>
      <c r="B1003" s="172"/>
      <c r="C1003" s="160"/>
    </row>
    <row r="1004" ht="22.5" customHeight="1">
      <c r="A1004" s="40"/>
      <c r="B1004" s="172"/>
      <c r="C1004" s="160"/>
    </row>
  </sheetData>
  <dataValidations>
    <dataValidation type="list" allowBlank="1" sqref="C2:C1004">
      <formula1>#REF!</formula1>
    </dataValidation>
  </dataValidations>
  <drawing r:id="rId1"/>
  <tableParts count="1">
    <tablePart r:id="rId3"/>
  </tableParts>
</worksheet>
</file>